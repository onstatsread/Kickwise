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  <sheet name="Sheet2" sheetId="2" r:id="rId2"/>
    <sheet name="Sheet3" sheetId="3" r:id="rId3" state="hidden"/>
    <sheet name="Check" sheetId="4" r:id="rId4" state="hidden"/>
    <sheet name="Sheet" sheetId="5" r:id="rId5"/>
    <sheet name="Sheet4 (2)" sheetId="6" r:id="rId6"/>
  </sheets>
  <definedNames/>
  <calcPr/>
</workbook>
</file>

<file path=xl/sharedStrings.xml><?xml version="1.0" encoding="utf-8"?>
<sst xmlns="http://schemas.openxmlformats.org/spreadsheetml/2006/main" uniqueCount="3311" count="3311">
  <si>
    <t>Goals per match</t>
  </si>
  <si>
    <t>GP</t>
  </si>
  <si>
    <t>Average goals overall</t>
  </si>
  <si>
    <t>  </t>
  </si>
  <si>
    <t>Average goals at home</t>
  </si>
  <si>
    <t>Average goals away</t>
  </si>
  <si>
    <t xml:space="preserve">home </t>
  </si>
  <si>
    <t xml:space="preserve">away </t>
  </si>
  <si>
    <t>away</t>
  </si>
  <si>
    <t xml:space="preserve">Home advantage </t>
  </si>
  <si>
    <t xml:space="preserve">Points per game  </t>
  </si>
  <si>
    <t xml:space="preserve"> </t>
  </si>
  <si>
    <t>Scored</t>
  </si>
  <si>
    <t>Conc.</t>
  </si>
  <si>
    <t>Total</t>
  </si>
  <si>
    <t>att</t>
  </si>
  <si>
    <t>defend</t>
  </si>
  <si>
    <t>HA</t>
  </si>
  <si>
    <t xml:space="preserve">% Wins  </t>
  </si>
  <si>
    <r>
      <rPr>
        <u/>
        <sz val="11"/>
        <color rgb="FF1155CC"/>
        <rFont val="Tahoma, Arial, sans-serif"/>
      </rPr>
      <t>Arnett Gardens</t>
    </r>
  </si>
  <si>
    <t xml:space="preserve">% Draws  </t>
  </si>
  <si>
    <r>
      <rPr>
        <u/>
        <sz val="11"/>
        <color rgb="FF1155CC"/>
        <rFont val="Tahoma, Arial, sans-serif"/>
      </rPr>
      <t>Cavalier</t>
    </r>
  </si>
  <si>
    <t xml:space="preserve">% Defeats  </t>
  </si>
  <si>
    <r>
      <rPr>
        <u/>
        <sz val="11"/>
        <color rgb="FF1155CC"/>
        <rFont val="Tahoma, Arial, sans-serif"/>
      </rPr>
      <t>Chapelton</t>
    </r>
  </si>
  <si>
    <t xml:space="preserve">Goals scored per game  </t>
  </si>
  <si>
    <r>
      <rPr>
        <u/>
        <sz val="11"/>
        <color rgb="FF1155CC"/>
        <rFont val="Tahoma, Arial, sans-serif"/>
      </rPr>
      <t>Dunbeholden</t>
    </r>
  </si>
  <si>
    <t xml:space="preserve">Goals conceded per game  </t>
  </si>
  <si>
    <r>
      <rPr>
        <u/>
        <sz val="11"/>
        <color rgb="FF1155CC"/>
        <rFont val="Tahoma, Arial, sans-serif"/>
      </rPr>
      <t>Harbour View</t>
    </r>
  </si>
  <si>
    <t xml:space="preserve">% Clean sheets  </t>
  </si>
  <si>
    <r>
      <rPr>
        <u/>
        <sz val="11"/>
        <color rgb="FF1155CC"/>
        <rFont val="Tahoma, Arial, sans-serif"/>
      </rPr>
      <t>Molynes Utd</t>
    </r>
  </si>
  <si>
    <t xml:space="preserve">% Failed To Score  </t>
  </si>
  <si>
    <r>
      <rPr>
        <u/>
        <sz val="11"/>
        <color rgb="FF1155CC"/>
        <rFont val="Tahoma, Arial, sans-serif"/>
      </rPr>
      <t>Montego Bay</t>
    </r>
  </si>
  <si>
    <t xml:space="preserve">% Won To Nil  </t>
  </si>
  <si>
    <r>
      <rPr>
        <u/>
        <sz val="11"/>
        <color rgb="FF1155CC"/>
        <rFont val="Tahoma, Arial, sans-serif"/>
      </rPr>
      <t>Mount Pleasant</t>
    </r>
  </si>
  <si>
    <t xml:space="preserve">% Lost To Nil  </t>
  </si>
  <si>
    <r>
      <rPr>
        <u/>
        <sz val="11"/>
        <color rgb="FF1155CC"/>
        <rFont val="Tahoma, Arial, sans-serif"/>
      </rPr>
      <t>Portmore Utd</t>
    </r>
  </si>
  <si>
    <t xml:space="preserve">Total goals per game  </t>
  </si>
  <si>
    <t xml:space="preserve">% Team scored first  </t>
  </si>
  <si>
    <r>
      <rPr>
        <u/>
        <sz val="11"/>
        <color rgb="FF1155CC"/>
        <rFont val="Tahoma, Arial, sans-serif"/>
      </rPr>
      <t>Racing United</t>
    </r>
  </si>
  <si>
    <t xml:space="preserve">% over 1.5 goals  </t>
  </si>
  <si>
    <t xml:space="preserve">% Opponent scored first  </t>
  </si>
  <si>
    <r>
      <rPr>
        <u/>
        <sz val="11"/>
        <color rgb="FF1155CC"/>
        <rFont val="Tahoma, Arial, sans-serif"/>
      </rPr>
      <t>Spanish Town P.</t>
    </r>
  </si>
  <si>
    <t xml:space="preserve">% over 2.5 goals  </t>
  </si>
  <si>
    <r>
      <rPr>
        <u/>
        <sz val="11"/>
        <color rgb="FF1155CC"/>
        <rFont val="Tahoma, Arial, sans-serif"/>
      </rPr>
      <t>Tivoli Gardens</t>
    </r>
  </si>
  <si>
    <t xml:space="preserve">% over 3.5 goals  </t>
  </si>
  <si>
    <r>
      <rPr>
        <u/>
        <sz val="11"/>
        <color rgb="FF1155CC"/>
        <rFont val="Tahoma, Arial, sans-serif"/>
      </rPr>
      <t>Treasure Beach</t>
    </r>
  </si>
  <si>
    <t xml:space="preserve">% both teams scored  </t>
  </si>
  <si>
    <r>
      <rPr>
        <u/>
        <sz val="11"/>
        <color rgb="FF1155CC"/>
        <rFont val="Tahoma, Arial, sans-serif"/>
      </rPr>
      <t>Waterhouse</t>
    </r>
  </si>
  <si>
    <t xml:space="preserve">Average minute scored first  </t>
  </si>
  <si>
    <t xml:space="preserve">Average minute conceded first  </t>
  </si>
  <si>
    <t xml:space="preserve">Lead-defending rate  </t>
  </si>
  <si>
    <t xml:space="preserve">Equalizing rate  </t>
  </si>
  <si>
    <t xml:space="preserve">% Time leading  </t>
  </si>
  <si>
    <t xml:space="preserve">% Time level in goals  </t>
  </si>
  <si>
    <t xml:space="preserve">% Time trailing  </t>
  </si>
  <si>
    <t xml:space="preserve">PPG when scored first  </t>
  </si>
  <si>
    <t xml:space="preserve">PPG when conceded first  </t>
  </si>
  <si>
    <t>league ave</t>
  </si>
  <si>
    <t xml:space="preserve"> Galway Utd </t>
  </si>
  <si>
    <t xml:space="preserve"> Cork City </t>
  </si>
  <si>
    <t>attack</t>
  </si>
  <si>
    <t>l.average</t>
  </si>
  <si>
    <t>g.expect</t>
  </si>
  <si>
    <t xml:space="preserve">predictions </t>
  </si>
  <si>
    <t>Racing United</t>
  </si>
  <si>
    <t>Waterhouse</t>
  </si>
  <si>
    <t xml:space="preserve">Team </t>
  </si>
  <si>
    <t>A.Goals</t>
  </si>
  <si>
    <t>Determinat</t>
  </si>
  <si>
    <t xml:space="preserve">suppressant </t>
  </si>
  <si>
    <t>S.confirmed</t>
  </si>
  <si>
    <t>level</t>
  </si>
  <si>
    <t>wins</t>
  </si>
  <si>
    <t>goals</t>
  </si>
  <si>
    <t xml:space="preserve">swiping </t>
  </si>
  <si>
    <t xml:space="preserve">percentage </t>
  </si>
  <si>
    <t>.</t>
  </si>
  <si>
    <t>=</t>
  </si>
  <si>
    <t>Sheet2!CU24</t>
  </si>
  <si>
    <t xml:space="preserve">chances </t>
  </si>
  <si>
    <t xml:space="preserve">no. of goals </t>
  </si>
  <si>
    <t>:</t>
  </si>
  <si>
    <t xml:space="preserve">probablity </t>
  </si>
  <si>
    <t>under</t>
  </si>
  <si>
    <t>over</t>
  </si>
  <si>
    <t xml:space="preserve">remain </t>
  </si>
  <si>
    <t xml:space="preserve">avrrage </t>
  </si>
  <si>
    <t xml:space="preserve">decision </t>
  </si>
  <si>
    <t>YES</t>
  </si>
  <si>
    <t>NO</t>
  </si>
  <si>
    <t>BTS</t>
  </si>
  <si>
    <t>calc</t>
  </si>
  <si>
    <t>odd</t>
  </si>
  <si>
    <t xml:space="preserve">even </t>
  </si>
  <si>
    <t>Ave.GE</t>
  </si>
  <si>
    <t>home</t>
  </si>
  <si>
    <t>Away</t>
  </si>
  <si>
    <t xml:space="preserve">Home doing </t>
  </si>
  <si>
    <t>truner</t>
  </si>
  <si>
    <t>Away doing</t>
  </si>
  <si>
    <t>averagPE</t>
  </si>
  <si>
    <t xml:space="preserve">selector </t>
  </si>
  <si>
    <t xml:space="preserve">difference </t>
  </si>
  <si>
    <t>Dist</t>
  </si>
  <si>
    <t xml:space="preserve">chance </t>
  </si>
  <si>
    <t>no of goals</t>
  </si>
  <si>
    <t>prob</t>
  </si>
  <si>
    <t xml:space="preserve">under  </t>
  </si>
  <si>
    <t xml:space="preserve">over </t>
  </si>
  <si>
    <t>l</t>
  </si>
  <si>
    <t>handicap</t>
  </si>
  <si>
    <t>VS</t>
  </si>
  <si>
    <t xml:space="preserve">league aerage </t>
  </si>
  <si>
    <t>Is it negative?</t>
  </si>
  <si>
    <t>goalexpect</t>
  </si>
  <si>
    <t>average GE</t>
  </si>
  <si>
    <t>if yes, check here</t>
  </si>
  <si>
    <t>OUTCOMES</t>
  </si>
  <si>
    <t xml:space="preserve">GOAL </t>
  </si>
  <si>
    <t>UNDER</t>
  </si>
  <si>
    <t>OVER</t>
  </si>
  <si>
    <t>HIGH</t>
  </si>
  <si>
    <t>MEDIUM</t>
  </si>
  <si>
    <t>LOW</t>
  </si>
  <si>
    <t>MAIN PREDICT</t>
  </si>
  <si>
    <t>MAIN</t>
  </si>
  <si>
    <t>WHO WINS</t>
  </si>
  <si>
    <t xml:space="preserve">ODD OR EVEN </t>
  </si>
  <si>
    <t>CHECK1</t>
  </si>
  <si>
    <t>CHECK 2</t>
  </si>
  <si>
    <t>CHECK 3</t>
  </si>
  <si>
    <t>CHECK 4</t>
  </si>
  <si>
    <t>CHECK 5</t>
  </si>
  <si>
    <t>TAB1</t>
  </si>
  <si>
    <t>vs</t>
  </si>
  <si>
    <t>Power</t>
  </si>
  <si>
    <t xml:space="preserve">Out standing </t>
  </si>
  <si>
    <t>Best Tab</t>
  </si>
  <si>
    <t>TAB 2</t>
  </si>
  <si>
    <t>amt</t>
  </si>
  <si>
    <t>cal</t>
  </si>
  <si>
    <t>RC</t>
  </si>
  <si>
    <t>profit</t>
  </si>
  <si>
    <t>10p</t>
  </si>
  <si>
    <r>
      <rPr>
        <sz val="11"/>
        <rFont val="Arial"/>
      </rPr>
      <t>stake</t>
    </r>
  </si>
  <si>
    <r>
      <rPr>
        <sz val="11"/>
        <rFont val="Arial"/>
      </rPr>
      <t>odd</t>
    </r>
  </si>
  <si>
    <r>
      <rPr>
        <sz val="11"/>
        <color rgb="FFBF0000"/>
        <rFont val="Arial"/>
      </rPr>
      <t>cash out</t>
    </r>
  </si>
  <si>
    <r>
      <rPr>
        <sz val="11"/>
        <rFont val="Arial"/>
      </rPr>
      <t xml:space="preserve">slave children </t>
    </r>
  </si>
  <si>
    <r>
      <rPr>
        <sz val="11"/>
        <rFont val="Arial"/>
      </rPr>
      <t>TRUE</t>
    </r>
  </si>
  <si>
    <r>
      <rPr>
        <sz val="11"/>
        <rFont val="Arial"/>
      </rPr>
      <t>TRUE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</si>
  <si>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</si>
  <si>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</si>
  <si>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</si>
  <si>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</si>
  <si>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</si>
  <si>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</si>
  <si>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</si>
  <si>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</si>
  <si>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</si>
  <si>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</si>
  <si>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</si>
  <si>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</si>
  <si>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</si>
  <si>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</si>
  <si>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</si>
  <si>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</si>
  <si>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</si>
  <si>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</si>
  <si>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</si>
  <si>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</si>
  <si>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</si>
  <si>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</si>
  <si>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</si>
  <si>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</si>
  <si>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</si>
  <si>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</si>
  <si>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</si>
  <si>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r>
      <rPr>
        <sz val="11"/>
        <rFont val="Arial"/>
      </rPr>
      <t>FALSE</t>
    </r>
  </si>
  <si>
    <t xml:space="preserve"> Abha </t>
  </si>
  <si>
    <t xml:space="preserve">  </t>
  </si>
  <si>
    <t xml:space="preserve"> Al Adalha </t>
  </si>
  <si>
    <t xml:space="preserve"> Al Anwar </t>
  </si>
  <si>
    <t xml:space="preserve"> Al Arabi </t>
  </si>
  <si>
    <t xml:space="preserve"> Al Batin </t>
  </si>
  <si>
    <t xml:space="preserve"> Al Bukayriyah </t>
  </si>
  <si>
    <t xml:space="preserve"> Al Diraiyah </t>
  </si>
  <si>
    <t xml:space="preserve"> Al Faisaly </t>
  </si>
  <si>
    <t xml:space="preserve"> Al Jabalain </t>
  </si>
  <si>
    <t xml:space="preserve"> Al Jandal </t>
  </si>
  <si>
    <t xml:space="preserve"> Al Jubail </t>
  </si>
  <si>
    <t xml:space="preserve"> Al Orubah </t>
  </si>
  <si>
    <t xml:space="preserve"> Al Raed </t>
  </si>
  <si>
    <t xml:space="preserve"> Al Tai </t>
  </si>
  <si>
    <t xml:space="preserve"> Al Ula </t>
  </si>
  <si>
    <t xml:space="preserve"> Al Wahda </t>
  </si>
  <si>
    <t xml:space="preserve"> Al Zulfi </t>
  </si>
  <si>
    <t xml:space="preserve"> Jeddah </t>
  </si>
  <si>
    <t xml:space="preserve"> AC Milan B </t>
  </si>
  <si>
    <t xml:space="preserve"> Breno </t>
  </si>
  <si>
    <t xml:space="preserve"> Brusaporto </t>
  </si>
  <si>
    <t xml:space="preserve"> Caldiero Terme </t>
  </si>
  <si>
    <t xml:space="preserve"> Castellanzese </t>
  </si>
  <si>
    <t xml:space="preserve"> Chievo </t>
  </si>
  <si>
    <t xml:space="preserve"> Ciserano </t>
  </si>
  <si>
    <t xml:space="preserve"> F. Caratese </t>
  </si>
  <si>
    <t xml:space="preserve"> Leon </t>
  </si>
  <si>
    <t xml:space="preserve"> Oltrepo </t>
  </si>
  <si>
    <t xml:space="preserve"> Pavia </t>
  </si>
  <si>
    <t xml:space="preserve"> Real Calepina </t>
  </si>
  <si>
    <t xml:space="preserve"> Scanzorosciate </t>
  </si>
  <si>
    <t xml:space="preserve"> Sondrio </t>
  </si>
  <si>
    <t xml:space="preserve"> USD Casatese </t>
  </si>
  <si>
    <t xml:space="preserve"> Varesina </t>
  </si>
  <si>
    <t xml:space="preserve"> Villa Alme </t>
  </si>
  <si>
    <t xml:space="preserve"> Vogherese </t>
  </si>
  <si>
    <t xml:space="preserve"> Adriese </t>
  </si>
  <si>
    <t xml:space="preserve"> Altavilla </t>
  </si>
  <si>
    <t xml:space="preserve"> Bassano Virtus </t>
  </si>
  <si>
    <t xml:space="preserve"> Brian Lignano </t>
  </si>
  <si>
    <t xml:space="preserve"> Calvi Noale </t>
  </si>
  <si>
    <t xml:space="preserve"> Campodarsego </t>
  </si>
  <si>
    <t xml:space="preserve"> Cjarlins Muzane </t>
  </si>
  <si>
    <t xml:space="preserve"> Clodiense </t>
  </si>
  <si>
    <t xml:space="preserve"> Conegliano </t>
  </si>
  <si>
    <t xml:space="preserve"> Este </t>
  </si>
  <si>
    <t xml:space="preserve"> Legnago Salus </t>
  </si>
  <si>
    <t xml:space="preserve"> Luparense </t>
  </si>
  <si>
    <t xml:space="preserve"> Mestre </t>
  </si>
  <si>
    <t xml:space="preserve"> Obermais </t>
  </si>
  <si>
    <t xml:space="preserve"> Portogruaro </t>
  </si>
  <si>
    <t xml:space="preserve"> San Luigi </t>
  </si>
  <si>
    <t xml:space="preserve"> Treviso </t>
  </si>
  <si>
    <t xml:space="preserve"> Vigasio </t>
  </si>
  <si>
    <t xml:space="preserve"> Cittadella VM </t>
  </si>
  <si>
    <t xml:space="preserve"> Coriano </t>
  </si>
  <si>
    <t xml:space="preserve"> Correggese </t>
  </si>
  <si>
    <t xml:space="preserve"> Crema </t>
  </si>
  <si>
    <t xml:space="preserve"> Desenxano </t>
  </si>
  <si>
    <t xml:space="preserve"> Imolese </t>
  </si>
  <si>
    <t xml:space="preserve"> Lentigione </t>
  </si>
  <si>
    <t xml:space="preserve"> Piacenza </t>
  </si>
  <si>
    <t xml:space="preserve"> Pistoiese </t>
  </si>
  <si>
    <t xml:space="preserve"> Pro Palazzolo </t>
  </si>
  <si>
    <t xml:space="preserve"> Pro Sesto </t>
  </si>
  <si>
    <t xml:space="preserve"> Progresso </t>
  </si>
  <si>
    <t xml:space="preserve"> Rovato Vertova </t>
  </si>
  <si>
    <t xml:space="preserve"> Sangiuliano C. </t>
  </si>
  <si>
    <t xml:space="preserve"> SantAngelo </t>
  </si>
  <si>
    <t xml:space="preserve"> Sasso Marconi </t>
  </si>
  <si>
    <t xml:space="preserve"> Trevigliese </t>
  </si>
  <si>
    <t xml:space="preserve"> Tuttocuoio </t>
  </si>
  <si>
    <t xml:space="preserve"> ACN Siena </t>
  </si>
  <si>
    <t xml:space="preserve"> Camaiore Calcio </t>
  </si>
  <si>
    <t xml:space="preserve"> Cannara </t>
  </si>
  <si>
    <t xml:space="preserve"> Foligno </t>
  </si>
  <si>
    <t xml:space="preserve"> Gavorrano </t>
  </si>
  <si>
    <t xml:space="preserve"> Ghiviborgo </t>
  </si>
  <si>
    <t xml:space="preserve"> Grosseto </t>
  </si>
  <si>
    <t xml:space="preserve"> Montevarchi </t>
  </si>
  <si>
    <t xml:space="preserve"> Orvietana </t>
  </si>
  <si>
    <t xml:space="preserve"> Poggibonsi </t>
  </si>
  <si>
    <t xml:space="preserve"> Prato </t>
  </si>
  <si>
    <t xml:space="preserve"> S. Trestina </t>
  </si>
  <si>
    <t xml:space="preserve"> San Donato </t>
  </si>
  <si>
    <t xml:space="preserve"> Scandicci </t>
  </si>
  <si>
    <t xml:space="preserve"> Seravezza </t>
  </si>
  <si>
    <t xml:space="preserve"> T. Traiana </t>
  </si>
  <si>
    <t xml:space="preserve"> Tau Altopascio </t>
  </si>
  <si>
    <t xml:space="preserve"> Vivi Altotevere </t>
  </si>
  <si>
    <t xml:space="preserve">Abha </t>
  </si>
  <si>
    <t xml:space="preserve"> AC Milan </t>
  </si>
  <si>
    <t xml:space="preserve"> AS Roma </t>
  </si>
  <si>
    <t xml:space="preserve"> Atalanta </t>
  </si>
  <si>
    <t xml:space="preserve"> Bologna </t>
  </si>
  <si>
    <t xml:space="preserve"> Cagliari </t>
  </si>
  <si>
    <t xml:space="preserve"> Como </t>
  </si>
  <si>
    <t xml:space="preserve"> Cremonese </t>
  </si>
  <si>
    <t xml:space="preserve"> Fiorentina </t>
  </si>
  <si>
    <t xml:space="preserve"> Genoa </t>
  </si>
  <si>
    <t xml:space="preserve"> Hellas Verona </t>
  </si>
  <si>
    <t xml:space="preserve"> Inter Milan </t>
  </si>
  <si>
    <t xml:space="preserve"> Juventus </t>
  </si>
  <si>
    <t xml:space="preserve"> Lazio </t>
  </si>
  <si>
    <t xml:space="preserve"> Lecce </t>
  </si>
  <si>
    <t xml:space="preserve"> Napoli </t>
  </si>
  <si>
    <t xml:space="preserve"> Parma </t>
  </si>
  <si>
    <t xml:space="preserve"> Pisa </t>
  </si>
  <si>
    <t xml:space="preserve"> Sassuolo </t>
  </si>
  <si>
    <t xml:space="preserve"> Torino </t>
  </si>
  <si>
    <t xml:space="preserve"> Udinese </t>
  </si>
  <si>
    <t xml:space="preserve">Al Ahli Doha </t>
  </si>
  <si>
    <t xml:space="preserve"> Al Duhail </t>
  </si>
  <si>
    <t xml:space="preserve"> Al Gharafa </t>
  </si>
  <si>
    <t xml:space="preserve"> Al Rayyan </t>
  </si>
  <si>
    <t xml:space="preserve"> Al Sadd </t>
  </si>
  <si>
    <t xml:space="preserve"> Al Sailiya </t>
  </si>
  <si>
    <t xml:space="preserve"> Al Shahaniya </t>
  </si>
  <si>
    <t xml:space="preserve"> Al Shamal </t>
  </si>
  <si>
    <t xml:space="preserve"> Al Wakrah </t>
  </si>
  <si>
    <t xml:space="preserve"> Qatar SC </t>
  </si>
  <si>
    <t xml:space="preserve"> Umm Salal </t>
  </si>
  <si>
    <t xml:space="preserve">Aberdeen </t>
  </si>
  <si>
    <t xml:space="preserve"> Celtic </t>
  </si>
  <si>
    <t xml:space="preserve"> Dundee FC </t>
  </si>
  <si>
    <t xml:space="preserve"> Dundee Utd </t>
  </si>
  <si>
    <t xml:space="preserve"> Falkirk </t>
  </si>
  <si>
    <t xml:space="preserve"> Hearts </t>
  </si>
  <si>
    <t xml:space="preserve"> Hibernian </t>
  </si>
  <si>
    <t xml:space="preserve"> Kilmarnock </t>
  </si>
  <si>
    <t xml:space="preserve"> Livingston </t>
  </si>
  <si>
    <t xml:space="preserve"> Motherwell </t>
  </si>
  <si>
    <t xml:space="preserve"> Rangers </t>
  </si>
  <si>
    <t xml:space="preserve"> St. Mirren </t>
  </si>
  <si>
    <t xml:space="preserve"> AFC Fylde </t>
  </si>
  <si>
    <t xml:space="preserve"> Alfreton Town </t>
  </si>
  <si>
    <t xml:space="preserve"> Bedford Town </t>
  </si>
  <si>
    <t xml:space="preserve"> Buxton </t>
  </si>
  <si>
    <t xml:space="preserve"> Chester </t>
  </si>
  <si>
    <t xml:space="preserve"> Chorley </t>
  </si>
  <si>
    <t xml:space="preserve"> Curzon </t>
  </si>
  <si>
    <t xml:space="preserve"> Darlington </t>
  </si>
  <si>
    <t xml:space="preserve"> Hereford Utd </t>
  </si>
  <si>
    <t xml:space="preserve"> Kidderminster </t>
  </si>
  <si>
    <t xml:space="preserve"> Kings Lynn </t>
  </si>
  <si>
    <t xml:space="preserve"> Leamington </t>
  </si>
  <si>
    <t xml:space="preserve"> Macclesfield </t>
  </si>
  <si>
    <t xml:space="preserve"> Marine </t>
  </si>
  <si>
    <t xml:space="preserve"> Merthyr Town </t>
  </si>
  <si>
    <t xml:space="preserve"> Oxford City </t>
  </si>
  <si>
    <t xml:space="preserve"> Peterborough S. </t>
  </si>
  <si>
    <t xml:space="preserve"> Radcliffe </t>
  </si>
  <si>
    <t xml:space="preserve"> Scarborough </t>
  </si>
  <si>
    <t xml:space="preserve"> South Shields </t>
  </si>
  <si>
    <t xml:space="preserve"> Southport </t>
  </si>
  <si>
    <t xml:space="preserve"> Spennymoor </t>
  </si>
  <si>
    <t xml:space="preserve"> Telford Utd </t>
  </si>
  <si>
    <t xml:space="preserve"> Worksop Town </t>
  </si>
  <si>
    <t xml:space="preserve"> AFC Totton </t>
  </si>
  <si>
    <t xml:space="preserve"> Bath City </t>
  </si>
  <si>
    <t xml:space="preserve"> Chelmsford City </t>
  </si>
  <si>
    <t xml:space="preserve"> Chesham Utd </t>
  </si>
  <si>
    <t xml:space="preserve"> Chippenham </t>
  </si>
  <si>
    <t xml:space="preserve"> Dagenham e R. </t>
  </si>
  <si>
    <t xml:space="preserve"> Dorking </t>
  </si>
  <si>
    <t xml:space="preserve"> Dover Athletic </t>
  </si>
  <si>
    <t xml:space="preserve"> Eastbourne </t>
  </si>
  <si>
    <t xml:space="preserve"> Ebbsfleet Utd </t>
  </si>
  <si>
    <t xml:space="preserve"> Enfield Town </t>
  </si>
  <si>
    <t xml:space="preserve"> Farnborough </t>
  </si>
  <si>
    <t xml:space="preserve"> Hampton e R. </t>
  </si>
  <si>
    <t xml:space="preserve"> Hemel Hempstead </t>
  </si>
  <si>
    <t xml:space="preserve"> Hornchurch </t>
  </si>
  <si>
    <t xml:space="preserve"> Horsham </t>
  </si>
  <si>
    <t xml:space="preserve"> Maidenhead Utd </t>
  </si>
  <si>
    <t xml:space="preserve"> Maidstone Utd </t>
  </si>
  <si>
    <t xml:space="preserve"> Salisbury </t>
  </si>
  <si>
    <t xml:space="preserve"> Slough Town </t>
  </si>
  <si>
    <t xml:space="preserve"> Tonbridge </t>
  </si>
  <si>
    <t xml:space="preserve"> Torquay Utd </t>
  </si>
  <si>
    <t xml:space="preserve"> Weston-s.-Mare </t>
  </si>
  <si>
    <t xml:space="preserve"> Worthing </t>
  </si>
  <si>
    <t xml:space="preserve"> Aveley </t>
  </si>
  <si>
    <t xml:space="preserve"> Billericay Town </t>
  </si>
  <si>
    <t xml:space="preserve"> Brentwood Town </t>
  </si>
  <si>
    <t xml:space="preserve"> Burgess Hill </t>
  </si>
  <si>
    <t xml:space="preserve"> Canvey Island </t>
  </si>
  <si>
    <t xml:space="preserve"> Carshalton </t>
  </si>
  <si>
    <t xml:space="preserve"> Chatham Town </t>
  </si>
  <si>
    <t xml:space="preserve"> Cheshunt </t>
  </si>
  <si>
    <t xml:space="preserve"> Chichester City </t>
  </si>
  <si>
    <t xml:space="preserve"> Cray Valley PM </t>
  </si>
  <si>
    <t xml:space="preserve"> Cray Wanderers </t>
  </si>
  <si>
    <t xml:space="preserve"> Dartford </t>
  </si>
  <si>
    <t xml:space="preserve"> Dulwich Hamlet </t>
  </si>
  <si>
    <t xml:space="preserve"> Folkestone </t>
  </si>
  <si>
    <t xml:space="preserve"> Hashtag United </t>
  </si>
  <si>
    <t xml:space="preserve"> Lewes </t>
  </si>
  <si>
    <t xml:space="preserve"> Potters Bar </t>
  </si>
  <si>
    <t xml:space="preserve"> Ramsgate </t>
  </si>
  <si>
    <t xml:space="preserve"> St Albans </t>
  </si>
  <si>
    <t xml:space="preserve"> Welling Utd </t>
  </si>
  <si>
    <t xml:space="preserve"> Whitehawk </t>
  </si>
  <si>
    <t xml:space="preserve"> Wingate / F. </t>
  </si>
  <si>
    <t xml:space="preserve">Basingstoke T. </t>
  </si>
  <si>
    <t xml:space="preserve"> Berkhamsted </t>
  </si>
  <si>
    <t xml:space="preserve"> Bracknell Town </t>
  </si>
  <si>
    <t xml:space="preserve"> Chertsey Town </t>
  </si>
  <si>
    <t xml:space="preserve"> Dorchester </t>
  </si>
  <si>
    <t xml:space="preserve"> Evesham United </t>
  </si>
  <si>
    <t xml:space="preserve"> Farnham Town </t>
  </si>
  <si>
    <t xml:space="preserve"> Gloucester City </t>
  </si>
  <si>
    <t xml:space="preserve"> Gosport Borough </t>
  </si>
  <si>
    <t xml:space="preserve"> Hanwell Town </t>
  </si>
  <si>
    <t xml:space="preserve"> Havant e W. </t>
  </si>
  <si>
    <t xml:space="preserve"> Hungerford </t>
  </si>
  <si>
    <t xml:space="preserve"> P. Parkway </t>
  </si>
  <si>
    <t xml:space="preserve"> Poole Town </t>
  </si>
  <si>
    <t xml:space="preserve"> Sholing </t>
  </si>
  <si>
    <t xml:space="preserve"> Taunton Town </t>
  </si>
  <si>
    <t xml:space="preserve"> Tiverton Town </t>
  </si>
  <si>
    <t xml:space="preserve"> Uxbridge </t>
  </si>
  <si>
    <t xml:space="preserve"> Walton e H. </t>
  </si>
  <si>
    <t xml:space="preserve"> Weymouth </t>
  </si>
  <si>
    <t xml:space="preserve"> Wimborne </t>
  </si>
  <si>
    <t xml:space="preserve"> Yate Town </t>
  </si>
  <si>
    <t xml:space="preserve"> Arsenal </t>
  </si>
  <si>
    <t xml:space="preserve"> Aston Villa </t>
  </si>
  <si>
    <t xml:space="preserve"> Bournemouth </t>
  </si>
  <si>
    <t xml:space="preserve"> Brentford </t>
  </si>
  <si>
    <t xml:space="preserve"> Brighton </t>
  </si>
  <si>
    <t xml:space="preserve"> Burnley </t>
  </si>
  <si>
    <t xml:space="preserve"> Chelsea </t>
  </si>
  <si>
    <t xml:space="preserve"> Crystal Palace </t>
  </si>
  <si>
    <t xml:space="preserve"> Everton </t>
  </si>
  <si>
    <t xml:space="preserve"> Fulham </t>
  </si>
  <si>
    <t xml:space="preserve"> Leeds Utd </t>
  </si>
  <si>
    <t xml:space="preserve"> Liverpool </t>
  </si>
  <si>
    <t xml:space="preserve"> Manchester City </t>
  </si>
  <si>
    <t xml:space="preserve"> Manchester Utd </t>
  </si>
  <si>
    <t xml:space="preserve"> Newcastle Utd </t>
  </si>
  <si>
    <t xml:space="preserve"> Nottm Forest </t>
  </si>
  <si>
    <t xml:space="preserve"> Sunderland </t>
  </si>
  <si>
    <t xml:space="preserve"> Tottenham </t>
  </si>
  <si>
    <t xml:space="preserve"> West Ham Utd </t>
  </si>
  <si>
    <t xml:space="preserve"> Wolverhampton </t>
  </si>
  <si>
    <t>*100</t>
  </si>
  <si>
    <t xml:space="preserve">Arnett Gardens </t>
  </si>
  <si>
    <t xml:space="preserve"> Cavalier </t>
  </si>
  <si>
    <t xml:space="preserve"> Chapelton </t>
  </si>
  <si>
    <t xml:space="preserve"> Dunbeholden </t>
  </si>
  <si>
    <t xml:space="preserve"> Harbour View </t>
  </si>
  <si>
    <t xml:space="preserve"> Molynes Utd </t>
  </si>
  <si>
    <t xml:space="preserve"> Montego Bay </t>
  </si>
  <si>
    <t xml:space="preserve"> Mount Pleasant  </t>
  </si>
  <si>
    <t xml:space="preserve"> Portmore Utd </t>
  </si>
  <si>
    <t xml:space="preserve"> Racing United </t>
  </si>
  <si>
    <t xml:space="preserve"> Spanish Town P. </t>
  </si>
  <si>
    <t xml:space="preserve"> Tivoli Gardens </t>
  </si>
  <si>
    <t xml:space="preserve"> Treasure Beach </t>
  </si>
  <si>
    <t xml:space="preserve"> Waterhouse </t>
  </si>
  <si>
    <t xml:space="preserve"> Al Hilal O. </t>
  </si>
  <si>
    <t xml:space="preserve"> Al Merreikh </t>
  </si>
  <si>
    <t xml:space="preserve"> Amagaju </t>
  </si>
  <si>
    <t xml:space="preserve"> APR </t>
  </si>
  <si>
    <t xml:space="preserve"> AS Kigali </t>
  </si>
  <si>
    <t xml:space="preserve"> Bugesera </t>
  </si>
  <si>
    <t xml:space="preserve"> Etincelles </t>
  </si>
  <si>
    <t xml:space="preserve"> Gasogi United </t>
  </si>
  <si>
    <t xml:space="preserve"> Gicumbi </t>
  </si>
  <si>
    <t xml:space="preserve"> Gorilla </t>
  </si>
  <si>
    <t xml:space="preserve"> Kiyovu </t>
  </si>
  <si>
    <t xml:space="preserve"> Marines </t>
  </si>
  <si>
    <t xml:space="preserve"> Muhanga </t>
  </si>
  <si>
    <t xml:space="preserve"> Mukura </t>
  </si>
  <si>
    <t xml:space="preserve"> Musanze </t>
  </si>
  <si>
    <t xml:space="preserve"> Police Rwanda </t>
  </si>
  <si>
    <t xml:space="preserve"> Rayon Sports </t>
  </si>
  <si>
    <t xml:space="preserve"> Rutsiro </t>
  </si>
  <si>
    <t xml:space="preserve"> Ajman </t>
  </si>
  <si>
    <t xml:space="preserve"> Al Ain </t>
  </si>
  <si>
    <t xml:space="preserve"> Al Bataeh </t>
  </si>
  <si>
    <t xml:space="preserve"> Al Dhafra </t>
  </si>
  <si>
    <t xml:space="preserve"> Al Jazira </t>
  </si>
  <si>
    <t xml:space="preserve"> Al Nasr </t>
  </si>
  <si>
    <t xml:space="preserve"> Al Sharjah </t>
  </si>
  <si>
    <t xml:space="preserve"> Al Wasl </t>
  </si>
  <si>
    <t xml:space="preserve"> Bani Yas </t>
  </si>
  <si>
    <t xml:space="preserve"> D. Al Fujairah </t>
  </si>
  <si>
    <t xml:space="preserve"> Ittihad Kalba </t>
  </si>
  <si>
    <t xml:space="preserve"> Khorfakkan </t>
  </si>
  <si>
    <t xml:space="preserve"> Shabab Al Ahli  </t>
  </si>
  <si>
    <t xml:space="preserve"> Al Ahli Jeddah </t>
  </si>
  <si>
    <t xml:space="preserve"> Al Akhdoud </t>
  </si>
  <si>
    <t xml:space="preserve"> Al Fateh </t>
  </si>
  <si>
    <t xml:space="preserve"> Al Feiha </t>
  </si>
  <si>
    <t xml:space="preserve"> Al Hazm </t>
  </si>
  <si>
    <t xml:space="preserve"> Al Hilal </t>
  </si>
  <si>
    <t xml:space="preserve"> Al Ittifaq </t>
  </si>
  <si>
    <t xml:space="preserve"> Al Ittihad </t>
  </si>
  <si>
    <t xml:space="preserve"> Al Khaleej </t>
  </si>
  <si>
    <t xml:space="preserve"> Al Kholood </t>
  </si>
  <si>
    <t xml:space="preserve"> Al Najma </t>
  </si>
  <si>
    <t xml:space="preserve"> Al Nassr </t>
  </si>
  <si>
    <t xml:space="preserve"> Al Quadisiya </t>
  </si>
  <si>
    <t xml:space="preserve"> Al Riyadh </t>
  </si>
  <si>
    <t xml:space="preserve"> Al Shabab </t>
  </si>
  <si>
    <t xml:space="preserve"> Al Taawon </t>
  </si>
  <si>
    <t xml:space="preserve"> Damak </t>
  </si>
  <si>
    <t xml:space="preserve"> Neom SC </t>
  </si>
  <si>
    <t xml:space="preserve"> AAli FC </t>
  </si>
  <si>
    <t xml:space="preserve"> Al Ahli M. </t>
  </si>
  <si>
    <t xml:space="preserve"> Al Riffa </t>
  </si>
  <si>
    <t xml:space="preserve"> Al Shabbab </t>
  </si>
  <si>
    <t xml:space="preserve"> Al-Hidd </t>
  </si>
  <si>
    <t xml:space="preserve"> Al-Muharraq </t>
  </si>
  <si>
    <t xml:space="preserve"> Al-Najma </t>
  </si>
  <si>
    <t xml:space="preserve"> Bahrain SC </t>
  </si>
  <si>
    <t xml:space="preserve"> Budaiya </t>
  </si>
  <si>
    <t xml:space="preserve"> Khalidiya </t>
  </si>
  <si>
    <t xml:space="preserve"> Malkiya </t>
  </si>
  <si>
    <t xml:space="preserve"> Sitra </t>
  </si>
  <si>
    <t xml:space="preserve">AC Milan </t>
  </si>
  <si>
    <t xml:space="preserve"> Academico Viseu </t>
  </si>
  <si>
    <t xml:space="preserve"> Benfica B </t>
  </si>
  <si>
    <t xml:space="preserve"> Chaves </t>
  </si>
  <si>
    <t xml:space="preserve"> Farense </t>
  </si>
  <si>
    <t xml:space="preserve"> FC Porto B </t>
  </si>
  <si>
    <t xml:space="preserve"> Feirense </t>
  </si>
  <si>
    <t xml:space="preserve"> Felgueiras </t>
  </si>
  <si>
    <t xml:space="preserve"> Leixoes </t>
  </si>
  <si>
    <t xml:space="preserve"> Lusitania FC </t>
  </si>
  <si>
    <t xml:space="preserve"> Maritimo </t>
  </si>
  <si>
    <t xml:space="preserve"> Oliveirense </t>
  </si>
  <si>
    <t xml:space="preserve"> Pacos Ferreira </t>
  </si>
  <si>
    <t xml:space="preserve"> Penafiel </t>
  </si>
  <si>
    <t xml:space="preserve"> Portimonense </t>
  </si>
  <si>
    <t xml:space="preserve"> Sporting CP B </t>
  </si>
  <si>
    <t xml:space="preserve"> Torreense </t>
  </si>
  <si>
    <t xml:space="preserve"> Uniao de Leiria </t>
  </si>
  <si>
    <t xml:space="preserve"> Vizela </t>
  </si>
  <si>
    <t xml:space="preserve"> Adana Demirspor </t>
  </si>
  <si>
    <t xml:space="preserve"> Amed SK </t>
  </si>
  <si>
    <t xml:space="preserve"> Bandirmaspor </t>
  </si>
  <si>
    <t xml:space="preserve"> Bodrumspor </t>
  </si>
  <si>
    <t xml:space="preserve"> Boluspor </t>
  </si>
  <si>
    <t xml:space="preserve"> Corum </t>
  </si>
  <si>
    <t xml:space="preserve"> Erokspor </t>
  </si>
  <si>
    <t xml:space="preserve"> Erzurum BB </t>
  </si>
  <si>
    <t xml:space="preserve"> Hatayspor </t>
  </si>
  <si>
    <t xml:space="preserve"> Igdir </t>
  </si>
  <si>
    <t xml:space="preserve"> Istanbulspor </t>
  </si>
  <si>
    <t xml:space="preserve"> Keciorengucu </t>
  </si>
  <si>
    <t xml:space="preserve"> Manisa BB </t>
  </si>
  <si>
    <t xml:space="preserve"> Pendikspor </t>
  </si>
  <si>
    <t xml:space="preserve"> Sakaryaspor </t>
  </si>
  <si>
    <t xml:space="preserve"> Sariyer </t>
  </si>
  <si>
    <t xml:space="preserve"> Serik Belediyes </t>
  </si>
  <si>
    <t xml:space="preserve"> Sivasspor </t>
  </si>
  <si>
    <t xml:space="preserve"> Umraniyespor </t>
  </si>
  <si>
    <t xml:space="preserve"> Van Spor </t>
  </si>
  <si>
    <t xml:space="preserve"> A. Chloraka </t>
  </si>
  <si>
    <t xml:space="preserve"> Achnas </t>
  </si>
  <si>
    <t xml:space="preserve"> AEK Larnaca </t>
  </si>
  <si>
    <t xml:space="preserve"> AEL Limassol </t>
  </si>
  <si>
    <t xml:space="preserve"> Anorthosis </t>
  </si>
  <si>
    <t xml:space="preserve"> APOEL Nicosia </t>
  </si>
  <si>
    <t xml:space="preserve"> Apollon </t>
  </si>
  <si>
    <t xml:space="preserve"> Aris </t>
  </si>
  <si>
    <t xml:space="preserve"> D. Ypsonas </t>
  </si>
  <si>
    <t xml:space="preserve"> Enosis P. </t>
  </si>
  <si>
    <t xml:space="preserve"> O. Aradippou </t>
  </si>
  <si>
    <t xml:space="preserve"> Olympiakos N. </t>
  </si>
  <si>
    <t xml:space="preserve"> Omonia Nicosia </t>
  </si>
  <si>
    <t xml:space="preserve"> Paphos </t>
  </si>
  <si>
    <t xml:space="preserve"> ADO Den Haag </t>
  </si>
  <si>
    <t xml:space="preserve"> Almere City </t>
  </si>
  <si>
    <t xml:space="preserve"> Cambuur </t>
  </si>
  <si>
    <t xml:space="preserve"> De Graafschap </t>
  </si>
  <si>
    <t xml:space="preserve"> FC Den Bosch </t>
  </si>
  <si>
    <t xml:space="preserve"> FC Dordrecht </t>
  </si>
  <si>
    <t xml:space="preserve"> FC Eindhoven </t>
  </si>
  <si>
    <t xml:space="preserve"> FC Emmen </t>
  </si>
  <si>
    <t xml:space="preserve"> Helmond Sport </t>
  </si>
  <si>
    <t xml:space="preserve"> Jong Ajax </t>
  </si>
  <si>
    <t xml:space="preserve"> Jong AZ </t>
  </si>
  <si>
    <t xml:space="preserve"> Jong PSV </t>
  </si>
  <si>
    <t xml:space="preserve"> Jong Utrecht </t>
  </si>
  <si>
    <t xml:space="preserve"> MVV Maastricht </t>
  </si>
  <si>
    <t xml:space="preserve"> RKC Waalwijk </t>
  </si>
  <si>
    <t xml:space="preserve"> Roda JC </t>
  </si>
  <si>
    <t xml:space="preserve"> TOP Oss </t>
  </si>
  <si>
    <t xml:space="preserve"> Vitesse Arnhem </t>
  </si>
  <si>
    <t xml:space="preserve"> VVV </t>
  </si>
  <si>
    <t xml:space="preserve"> Willem II </t>
  </si>
  <si>
    <t xml:space="preserve"> Arsenal U21 </t>
  </si>
  <si>
    <t xml:space="preserve"> Aston Villa U21 </t>
  </si>
  <si>
    <t xml:space="preserve"> Birmingham U21 </t>
  </si>
  <si>
    <t xml:space="preserve"> Blackburn U21 </t>
  </si>
  <si>
    <t xml:space="preserve"> Brighton U21 </t>
  </si>
  <si>
    <t xml:space="preserve"> Burnley U21 </t>
  </si>
  <si>
    <t xml:space="preserve"> C. Palace U21 </t>
  </si>
  <si>
    <t xml:space="preserve"> Chelsea U21 </t>
  </si>
  <si>
    <t xml:space="preserve"> Derby C. U21 </t>
  </si>
  <si>
    <t xml:space="preserve"> Everton U21 </t>
  </si>
  <si>
    <t xml:space="preserve"> Fulham U21 </t>
  </si>
  <si>
    <t xml:space="preserve"> Ipswich U21 </t>
  </si>
  <si>
    <t xml:space="preserve"> Leeds Utd U21 </t>
  </si>
  <si>
    <t xml:space="preserve"> Leicester U21 </t>
  </si>
  <si>
    <t xml:space="preserve"> Liverpool U21 </t>
  </si>
  <si>
    <t xml:space="preserve"> Man City U21 </t>
  </si>
  <si>
    <t xml:space="preserve"> Man Utd U21 </t>
  </si>
  <si>
    <t xml:space="preserve"> Middlesb. U21 </t>
  </si>
  <si>
    <t xml:space="preserve"> Newcastle U21 </t>
  </si>
  <si>
    <t xml:space="preserve"> Norwich U21 </t>
  </si>
  <si>
    <t xml:space="preserve"> Nottingham U21 </t>
  </si>
  <si>
    <t xml:space="preserve"> Reading U21 </t>
  </si>
  <si>
    <t xml:space="preserve"> Southampton U21 </t>
  </si>
  <si>
    <t xml:space="preserve"> Stoke City U21 </t>
  </si>
  <si>
    <t xml:space="preserve"> Sunderland U21 </t>
  </si>
  <si>
    <t xml:space="preserve"> Tottenham U21 </t>
  </si>
  <si>
    <t xml:space="preserve"> West Brom U21 </t>
  </si>
  <si>
    <t xml:space="preserve"> West Ham U21 </t>
  </si>
  <si>
    <t xml:space="preserve"> Wolves U21 </t>
  </si>
  <si>
    <t xml:space="preserve"> Alaves </t>
  </si>
  <si>
    <t xml:space="preserve"> Athletic Bilbao </t>
  </si>
  <si>
    <t xml:space="preserve"> Atletico Madrid </t>
  </si>
  <si>
    <t xml:space="preserve"> Celta Vigo </t>
  </si>
  <si>
    <t xml:space="preserve"> Elche </t>
  </si>
  <si>
    <t xml:space="preserve"> Espanyol </t>
  </si>
  <si>
    <t xml:space="preserve"> FC Barcelona </t>
  </si>
  <si>
    <t xml:space="preserve"> Getafe </t>
  </si>
  <si>
    <t xml:space="preserve"> Girona </t>
  </si>
  <si>
    <t xml:space="preserve"> Levante </t>
  </si>
  <si>
    <t xml:space="preserve"> Mallorca </t>
  </si>
  <si>
    <t xml:space="preserve"> Osasuna </t>
  </si>
  <si>
    <t xml:space="preserve"> Rayo Vallecano </t>
  </si>
  <si>
    <t xml:space="preserve"> Real Betis </t>
  </si>
  <si>
    <t xml:space="preserve"> Real Madrid </t>
  </si>
  <si>
    <t xml:space="preserve"> Real Oviedo </t>
  </si>
  <si>
    <t xml:space="preserve"> Real Sociedad </t>
  </si>
  <si>
    <t xml:space="preserve"> Sevilla FC </t>
  </si>
  <si>
    <t xml:space="preserve"> Valencia </t>
  </si>
  <si>
    <t xml:space="preserve"> Villarreal </t>
  </si>
  <si>
    <t xml:space="preserve"> Bayern Munich </t>
  </si>
  <si>
    <t xml:space="preserve"> Dortmund </t>
  </si>
  <si>
    <t xml:space="preserve"> E. Frankfurt </t>
  </si>
  <si>
    <t xml:space="preserve"> FC Augsburg </t>
  </si>
  <si>
    <t xml:space="preserve"> FC Koln </t>
  </si>
  <si>
    <t xml:space="preserve"> Freiburg </t>
  </si>
  <si>
    <t xml:space="preserve"> FSV Mainz </t>
  </si>
  <si>
    <t xml:space="preserve"> Hamburger SV </t>
  </si>
  <si>
    <t xml:space="preserve"> Heidenheim </t>
  </si>
  <si>
    <t xml:space="preserve"> Hoffenheim </t>
  </si>
  <si>
    <t xml:space="preserve"> Leverkusen </t>
  </si>
  <si>
    <t xml:space="preserve"> Monchengladbach </t>
  </si>
  <si>
    <t xml:space="preserve"> RB Leipzig </t>
  </si>
  <si>
    <t xml:space="preserve"> Sankt Pauli </t>
  </si>
  <si>
    <t xml:space="preserve"> Stuttgart </t>
  </si>
  <si>
    <t xml:space="preserve"> Union Berlin </t>
  </si>
  <si>
    <t xml:space="preserve"> Werder Bremen </t>
  </si>
  <si>
    <t xml:space="preserve"> Wolfsburg </t>
  </si>
  <si>
    <t xml:space="preserve"> Arezzo </t>
  </si>
  <si>
    <t xml:space="preserve"> Ascoli </t>
  </si>
  <si>
    <t xml:space="preserve"> Athletic Carpi </t>
  </si>
  <si>
    <t xml:space="preserve"> Bra </t>
  </si>
  <si>
    <t xml:space="preserve"> Campobasso </t>
  </si>
  <si>
    <t xml:space="preserve"> Forli </t>
  </si>
  <si>
    <t xml:space="preserve"> Gubbio </t>
  </si>
  <si>
    <t xml:space="preserve"> Guidonia </t>
  </si>
  <si>
    <t xml:space="preserve"> Juventus U23 </t>
  </si>
  <si>
    <t xml:space="preserve"> Livorno </t>
  </si>
  <si>
    <t xml:space="preserve"> Perugia </t>
  </si>
  <si>
    <t xml:space="preserve"> Pianese </t>
  </si>
  <si>
    <t xml:space="preserve"> Pineto </t>
  </si>
  <si>
    <t xml:space="preserve"> Pontedera </t>
  </si>
  <si>
    <t xml:space="preserve"> Ravenna </t>
  </si>
  <si>
    <t xml:space="preserve"> Sambenedettese </t>
  </si>
  <si>
    <t xml:space="preserve"> Ternana </t>
  </si>
  <si>
    <t xml:space="preserve"> Torres </t>
  </si>
  <si>
    <t xml:space="preserve"> Vis Pesaro </t>
  </si>
  <si>
    <t xml:space="preserve"> Adelaide Utd W </t>
  </si>
  <si>
    <t xml:space="preserve"> Brisbane Roar W </t>
  </si>
  <si>
    <t xml:space="preserve"> Canberra Utd W </t>
  </si>
  <si>
    <t xml:space="preserve"> Central Coast W </t>
  </si>
  <si>
    <t xml:space="preserve"> Melbourne C. W </t>
  </si>
  <si>
    <t xml:space="preserve"> Melbourne V. W </t>
  </si>
  <si>
    <t xml:space="preserve"> Newcastle J. W </t>
  </si>
  <si>
    <t xml:space="preserve"> Perth Glory W </t>
  </si>
  <si>
    <t xml:space="preserve"> Sydney W </t>
  </si>
  <si>
    <t xml:space="preserve"> Wellington P. W </t>
  </si>
  <si>
    <t xml:space="preserve"> Western S. W </t>
  </si>
  <si>
    <t>GO TO SUMMARY</t>
  </si>
  <si>
    <t>Back</t>
  </si>
  <si>
    <t xml:space="preserve"> Adelaide Utd </t>
  </si>
  <si>
    <t xml:space="preserve"> Auckland </t>
  </si>
  <si>
    <t xml:space="preserve"> Brisbane Roar </t>
  </si>
  <si>
    <t xml:space="preserve"> Central Coast </t>
  </si>
  <si>
    <t xml:space="preserve"> Macarthur FC </t>
  </si>
  <si>
    <t xml:space="preserve"> Melbourne City </t>
  </si>
  <si>
    <t xml:space="preserve"> Melbourne V. </t>
  </si>
  <si>
    <t xml:space="preserve"> Newcastle Jets </t>
  </si>
  <si>
    <t xml:space="preserve"> Perth Glory </t>
  </si>
  <si>
    <t xml:space="preserve"> Sydney FC </t>
  </si>
  <si>
    <t xml:space="preserve"> Wellington </t>
  </si>
  <si>
    <t xml:space="preserve"> WS Wanderers </t>
  </si>
  <si>
    <t xml:space="preserve"> Eastern </t>
  </si>
  <si>
    <t xml:space="preserve"> Eastern Distric </t>
  </si>
  <si>
    <t xml:space="preserve"> HK Rangers </t>
  </si>
  <si>
    <t xml:space="preserve"> Hong Kong FC </t>
  </si>
  <si>
    <t xml:space="preserve"> Kitchee </t>
  </si>
  <si>
    <t xml:space="preserve"> Kowloon City </t>
  </si>
  <si>
    <t xml:space="preserve"> LM Warriors </t>
  </si>
  <si>
    <t xml:space="preserve"> North District </t>
  </si>
  <si>
    <t xml:space="preserve"> Southern D. </t>
  </si>
  <si>
    <t xml:space="preserve"> Tai Po </t>
  </si>
  <si>
    <t xml:space="preserve"> Arema </t>
  </si>
  <si>
    <t xml:space="preserve"> Bali Utd </t>
  </si>
  <si>
    <t xml:space="preserve"> Bhayangkara S. </t>
  </si>
  <si>
    <t xml:space="preserve"> Borneo </t>
  </si>
  <si>
    <t xml:space="preserve"> Dewa Utd </t>
  </si>
  <si>
    <t xml:space="preserve"> Madura Utd </t>
  </si>
  <si>
    <t xml:space="preserve"> Malut United </t>
  </si>
  <si>
    <t xml:space="preserve"> Persebaya S. </t>
  </si>
  <si>
    <t xml:space="preserve"> Persib </t>
  </si>
  <si>
    <t xml:space="preserve"> Persija </t>
  </si>
  <si>
    <t xml:space="preserve"> Persijap </t>
  </si>
  <si>
    <t xml:space="preserve"> Persik Kediri </t>
  </si>
  <si>
    <t xml:space="preserve"> Persis Solo </t>
  </si>
  <si>
    <t xml:space="preserve"> Persita </t>
  </si>
  <si>
    <t xml:space="preserve"> PSBS Biak N. </t>
  </si>
  <si>
    <t xml:space="preserve"> PSIM Yogyakarta </t>
  </si>
  <si>
    <t xml:space="preserve"> PSM </t>
  </si>
  <si>
    <t xml:space="preserve"> Semen Padang </t>
  </si>
  <si>
    <t xml:space="preserve"> DPMM FC </t>
  </si>
  <si>
    <t xml:space="preserve"> Imigresen </t>
  </si>
  <si>
    <t xml:space="preserve"> Johor Darul </t>
  </si>
  <si>
    <t xml:space="preserve"> Kelantan DN </t>
  </si>
  <si>
    <t xml:space="preserve"> Kuala Lumpur </t>
  </si>
  <si>
    <t xml:space="preserve"> Kuching </t>
  </si>
  <si>
    <t xml:space="preserve"> Melaka </t>
  </si>
  <si>
    <t xml:space="preserve"> Negeri Sembilan </t>
  </si>
  <si>
    <t xml:space="preserve"> PDRM </t>
  </si>
  <si>
    <t xml:space="preserve"> Pulau Pinang </t>
  </si>
  <si>
    <t xml:space="preserve"> Sabah </t>
  </si>
  <si>
    <t xml:space="preserve"> Selangor </t>
  </si>
  <si>
    <t xml:space="preserve"> Terengganu </t>
  </si>
  <si>
    <t xml:space="preserve"> 24 Erzincanspor </t>
  </si>
  <si>
    <t xml:space="preserve"> Adana </t>
  </si>
  <si>
    <t xml:space="preserve"> Altinordu </t>
  </si>
  <si>
    <t xml:space="preserve"> Ankaragucu </t>
  </si>
  <si>
    <t xml:space="preserve"> Ankaraspor </t>
  </si>
  <si>
    <t xml:space="preserve"> B. Petrolspor </t>
  </si>
  <si>
    <t xml:space="preserve"> Beykoz Anadolu </t>
  </si>
  <si>
    <t xml:space="preserve"> Beyoglu Yeni C. </t>
  </si>
  <si>
    <t xml:space="preserve"> Bucaspor </t>
  </si>
  <si>
    <t xml:space="preserve"> Elazigspor </t>
  </si>
  <si>
    <t xml:space="preserve"> Erbaaspor </t>
  </si>
  <si>
    <t xml:space="preserve"> Inegolspor </t>
  </si>
  <si>
    <t xml:space="preserve"> Iskenderun </t>
  </si>
  <si>
    <t xml:space="preserve"> Karacabey </t>
  </si>
  <si>
    <t xml:space="preserve"> Karaman </t>
  </si>
  <si>
    <t xml:space="preserve"> Kastamonuspor </t>
  </si>
  <si>
    <t xml:space="preserve"> Kepezspor </t>
  </si>
  <si>
    <t xml:space="preserve"> Muglaspor </t>
  </si>
  <si>
    <t xml:space="preserve"> Sanliurfaspor </t>
  </si>
  <si>
    <t xml:space="preserve"> A. Demirspor </t>
  </si>
  <si>
    <t xml:space="preserve"> Adanaspor </t>
  </si>
  <si>
    <t xml:space="preserve"> Aksaray B. </t>
  </si>
  <si>
    <t xml:space="preserve"> Aliaga FAS </t>
  </si>
  <si>
    <t xml:space="preserve"> Arnavutkoy B. </t>
  </si>
  <si>
    <t xml:space="preserve"> Bursaspor </t>
  </si>
  <si>
    <t xml:space="preserve"> Fethiyespor </t>
  </si>
  <si>
    <t xml:space="preserve"> Gebzespor </t>
  </si>
  <si>
    <t xml:space="preserve"> Isparta Davrazs </t>
  </si>
  <si>
    <t xml:space="preserve"> K. Istiklalspor </t>
  </si>
  <si>
    <t xml:space="preserve"> Kirklarelispor </t>
  </si>
  <si>
    <t xml:space="preserve"> Mardin BB </t>
  </si>
  <si>
    <t xml:space="preserve"> Menemen B. </t>
  </si>
  <si>
    <t xml:space="preserve"> Musspor </t>
  </si>
  <si>
    <t xml:space="preserve"> Somaspor </t>
  </si>
  <si>
    <t xml:space="preserve"> Trabzon FK </t>
  </si>
  <si>
    <t xml:space="preserve"> Y. Malatyaspor </t>
  </si>
  <si>
    <t xml:space="preserve"> Yeni Mersin IY </t>
  </si>
  <si>
    <t xml:space="preserve"> Ayutthaya Utd </t>
  </si>
  <si>
    <t xml:space="preserve"> Bangkok Utd </t>
  </si>
  <si>
    <t xml:space="preserve"> Buriram Utd </t>
  </si>
  <si>
    <t xml:space="preserve"> Chiangrai Utd </t>
  </si>
  <si>
    <t xml:space="preserve"> Chonburi </t>
  </si>
  <si>
    <t xml:space="preserve"> Kanchanaburi </t>
  </si>
  <si>
    <t xml:space="preserve"> Lamphun Warrior </t>
  </si>
  <si>
    <t xml:space="preserve"> Muang Thong Utd </t>
  </si>
  <si>
    <t xml:space="preserve"> N. Ratchasima </t>
  </si>
  <si>
    <t xml:space="preserve"> Pathum Utd </t>
  </si>
  <si>
    <t xml:space="preserve"> Port FC </t>
  </si>
  <si>
    <t xml:space="preserve"> Prachuap </t>
  </si>
  <si>
    <t xml:space="preserve"> Ratchaburi </t>
  </si>
  <si>
    <t xml:space="preserve"> Rayong </t>
  </si>
  <si>
    <t xml:space="preserve"> Sukhothai </t>
  </si>
  <si>
    <t xml:space="preserve"> Uthai Thani </t>
  </si>
  <si>
    <t xml:space="preserve"> B. Yildirimspor </t>
  </si>
  <si>
    <t xml:space="preserve"> Beykoz I. </t>
  </si>
  <si>
    <t xml:space="preserve"> Cankaya FK </t>
  </si>
  <si>
    <t xml:space="preserve"> Corluspor </t>
  </si>
  <si>
    <t xml:space="preserve"> Edirnespor </t>
  </si>
  <si>
    <t xml:space="preserve"> Etimesgut </t>
  </si>
  <si>
    <t xml:space="preserve"> Galata </t>
  </si>
  <si>
    <t xml:space="preserve"> Inegol Kafkas </t>
  </si>
  <si>
    <t xml:space="preserve"> Inkilapspor </t>
  </si>
  <si>
    <t xml:space="preserve"> K. Bulvarspor </t>
  </si>
  <si>
    <t xml:space="preserve"> Kestel Cilek </t>
  </si>
  <si>
    <t xml:space="preserve"> Kucukcekmece </t>
  </si>
  <si>
    <t xml:space="preserve"> Nilufer B. </t>
  </si>
  <si>
    <t xml:space="preserve"> Polatli B. </t>
  </si>
  <si>
    <t xml:space="preserve"> Silivrispor </t>
  </si>
  <si>
    <t xml:space="preserve"> Yalova Yesilova </t>
  </si>
  <si>
    <t xml:space="preserve"> AFC Wimbledon </t>
  </si>
  <si>
    <t xml:space="preserve"> Barnsley </t>
  </si>
  <si>
    <t xml:space="preserve"> Blackpool </t>
  </si>
  <si>
    <t xml:space="preserve"> Bolton </t>
  </si>
  <si>
    <t xml:space="preserve"> Bradford </t>
  </si>
  <si>
    <t xml:space="preserve"> Burton Albion </t>
  </si>
  <si>
    <t xml:space="preserve"> Cardiff City </t>
  </si>
  <si>
    <t xml:space="preserve"> Doncaster </t>
  </si>
  <si>
    <t xml:space="preserve"> Exeter City </t>
  </si>
  <si>
    <t xml:space="preserve"> Huddersfield </t>
  </si>
  <si>
    <t xml:space="preserve"> Leyton Orient </t>
  </si>
  <si>
    <t xml:space="preserve"> Lincoln City </t>
  </si>
  <si>
    <t xml:space="preserve"> Luton Town </t>
  </si>
  <si>
    <t xml:space="preserve"> Mansfield </t>
  </si>
  <si>
    <t xml:space="preserve"> Northampton </t>
  </si>
  <si>
    <t xml:space="preserve"> Peterborough </t>
  </si>
  <si>
    <t xml:space="preserve"> Plymouth </t>
  </si>
  <si>
    <t xml:space="preserve"> Port Vale </t>
  </si>
  <si>
    <t xml:space="preserve"> Reading </t>
  </si>
  <si>
    <t xml:space="preserve"> Rotherham </t>
  </si>
  <si>
    <t xml:space="preserve"> Stevenage </t>
  </si>
  <si>
    <t xml:space="preserve"> Stockport </t>
  </si>
  <si>
    <t xml:space="preserve"> Wigan Athletic </t>
  </si>
  <si>
    <t xml:space="preserve"> Wycombe </t>
  </si>
  <si>
    <t xml:space="preserve">Accrington </t>
  </si>
  <si>
    <t xml:space="preserve"> Barnet </t>
  </si>
  <si>
    <t xml:space="preserve"> Barrow </t>
  </si>
  <si>
    <t xml:space="preserve"> Bristol Rovers </t>
  </si>
  <si>
    <t xml:space="preserve"> Bromley </t>
  </si>
  <si>
    <t xml:space="preserve"> Cambridge Utd </t>
  </si>
  <si>
    <t xml:space="preserve"> Cheltenham </t>
  </si>
  <si>
    <t xml:space="preserve"> Chesterfield </t>
  </si>
  <si>
    <t xml:space="preserve"> Colchester Utd </t>
  </si>
  <si>
    <t xml:space="preserve"> Crawley Town </t>
  </si>
  <si>
    <t xml:space="preserve"> Crewe Alexandra </t>
  </si>
  <si>
    <t xml:space="preserve"> Fleetwood </t>
  </si>
  <si>
    <t xml:space="preserve"> Gillingham </t>
  </si>
  <si>
    <t xml:space="preserve"> Grimsby </t>
  </si>
  <si>
    <t xml:space="preserve"> Harrogate </t>
  </si>
  <si>
    <t xml:space="preserve"> Milton Keynes </t>
  </si>
  <si>
    <t xml:space="preserve"> Newport </t>
  </si>
  <si>
    <t xml:space="preserve"> Notts County </t>
  </si>
  <si>
    <t xml:space="preserve"> Oldham </t>
  </si>
  <si>
    <t xml:space="preserve"> Salford City </t>
  </si>
  <si>
    <t xml:space="preserve"> Shrewsbury </t>
  </si>
  <si>
    <t xml:space="preserve"> Swindon Town </t>
  </si>
  <si>
    <t xml:space="preserve"> Tranmere </t>
  </si>
  <si>
    <t xml:space="preserve"> Walsall </t>
  </si>
  <si>
    <t xml:space="preserve">Aldershot Town </t>
  </si>
  <si>
    <t xml:space="preserve"> Altrincham </t>
  </si>
  <si>
    <t xml:space="preserve"> Boreham Wood </t>
  </si>
  <si>
    <t xml:space="preserve"> Boston Utd </t>
  </si>
  <si>
    <t xml:space="preserve"> Brackley Town </t>
  </si>
  <si>
    <t xml:space="preserve"> Braintree Town </t>
  </si>
  <si>
    <t xml:space="preserve"> Carlisle Utd </t>
  </si>
  <si>
    <t xml:space="preserve"> Eastleigh </t>
  </si>
  <si>
    <t xml:space="preserve"> Forest Green </t>
  </si>
  <si>
    <t xml:space="preserve"> Gateshead FC </t>
  </si>
  <si>
    <t xml:space="preserve"> Halifax Town </t>
  </si>
  <si>
    <t xml:space="preserve"> Hartlepool </t>
  </si>
  <si>
    <t xml:space="preserve"> Morecambe </t>
  </si>
  <si>
    <t xml:space="preserve"> Rochdale </t>
  </si>
  <si>
    <t xml:space="preserve"> Scunthorpe </t>
  </si>
  <si>
    <t xml:space="preserve"> Solihull Moors </t>
  </si>
  <si>
    <t xml:space="preserve"> Southend Utd </t>
  </si>
  <si>
    <t xml:space="preserve"> Sutton Utd </t>
  </si>
  <si>
    <t xml:space="preserve"> Tamworth </t>
  </si>
  <si>
    <t xml:space="preserve"> Truro City </t>
  </si>
  <si>
    <t xml:space="preserve"> Wealdstone </t>
  </si>
  <si>
    <t xml:space="preserve"> Woking </t>
  </si>
  <si>
    <t xml:space="preserve"> Yeovil Town </t>
  </si>
  <si>
    <t xml:space="preserve"> York City </t>
  </si>
  <si>
    <t xml:space="preserve"> Aldershot Town </t>
  </si>
  <si>
    <t xml:space="preserve"> Arsenal W </t>
  </si>
  <si>
    <t xml:space="preserve"> Aston Villa W </t>
  </si>
  <si>
    <t xml:space="preserve"> Brighton W </t>
  </si>
  <si>
    <t xml:space="preserve"> Chelsea W </t>
  </si>
  <si>
    <t xml:space="preserve"> Everton W </t>
  </si>
  <si>
    <t xml:space="preserve"> Leicester W </t>
  </si>
  <si>
    <t xml:space="preserve"> Liverpool W </t>
  </si>
  <si>
    <t xml:space="preserve"> London City L W </t>
  </si>
  <si>
    <t xml:space="preserve"> Man City W </t>
  </si>
  <si>
    <t xml:space="preserve"> Man Utd W </t>
  </si>
  <si>
    <t xml:space="preserve"> Tottenham W </t>
  </si>
  <si>
    <t xml:space="preserve"> West Ham W </t>
  </si>
  <si>
    <t xml:space="preserve">Alverca </t>
  </si>
  <si>
    <t xml:space="preserve"> Arouca </t>
  </si>
  <si>
    <t xml:space="preserve"> AVS </t>
  </si>
  <si>
    <t xml:space="preserve"> Benfica </t>
  </si>
  <si>
    <t xml:space="preserve"> Casa Pia </t>
  </si>
  <si>
    <t xml:space="preserve"> Estoril </t>
  </si>
  <si>
    <t xml:space="preserve"> Estrela Amadora </t>
  </si>
  <si>
    <t xml:space="preserve"> Famalicao </t>
  </si>
  <si>
    <t xml:space="preserve"> FC Porto </t>
  </si>
  <si>
    <t xml:space="preserve"> Gil Vicente </t>
  </si>
  <si>
    <t xml:space="preserve"> Guimaraes </t>
  </si>
  <si>
    <t xml:space="preserve"> Moreirense </t>
  </si>
  <si>
    <t xml:space="preserve"> Nacional </t>
  </si>
  <si>
    <t xml:space="preserve"> Rio Ave </t>
  </si>
  <si>
    <t xml:space="preserve"> Santa Clara </t>
  </si>
  <si>
    <t xml:space="preserve"> Sporting Braga </t>
  </si>
  <si>
    <t xml:space="preserve"> Sporting CP </t>
  </si>
  <si>
    <t xml:space="preserve"> Tondela </t>
  </si>
  <si>
    <t xml:space="preserve"> Arnett Gardens </t>
  </si>
  <si>
    <t xml:space="preserve">Brooklyn W </t>
  </si>
  <si>
    <t xml:space="preserve"> Carolina A. W </t>
  </si>
  <si>
    <t xml:space="preserve"> Dallas T. W </t>
  </si>
  <si>
    <t xml:space="preserve"> DC Power W </t>
  </si>
  <si>
    <t xml:space="preserve"> F. Lauderdale W </t>
  </si>
  <si>
    <t xml:space="preserve"> Lexington W </t>
  </si>
  <si>
    <t xml:space="preserve"> Spokane Z. W </t>
  </si>
  <si>
    <t xml:space="preserve"> Sporting JAX W </t>
  </si>
  <si>
    <t xml:space="preserve"> Tampa Bay Sun W </t>
  </si>
  <si>
    <t xml:space="preserve"> Atalanta U20 </t>
  </si>
  <si>
    <t xml:space="preserve"> Bologna U20 </t>
  </si>
  <si>
    <t xml:space="preserve"> Cagliari U20 </t>
  </si>
  <si>
    <t xml:space="preserve"> Cesena U20 </t>
  </si>
  <si>
    <t xml:space="preserve"> Cremonese U20 </t>
  </si>
  <si>
    <t xml:space="preserve"> Fiorentina U20 </t>
  </si>
  <si>
    <t xml:space="preserve"> Frosinone U20 </t>
  </si>
  <si>
    <t xml:space="preserve"> Genoa U20 </t>
  </si>
  <si>
    <t xml:space="preserve"> H. Verona U20 </t>
  </si>
  <si>
    <t xml:space="preserve"> Inter Milan U20 </t>
  </si>
  <si>
    <t xml:space="preserve"> Juventus U20 </t>
  </si>
  <si>
    <t xml:space="preserve"> Lazio U20 </t>
  </si>
  <si>
    <t xml:space="preserve"> Lecce U20 </t>
  </si>
  <si>
    <t xml:space="preserve"> Milan U20 </t>
  </si>
  <si>
    <t xml:space="preserve"> Monza U20 </t>
  </si>
  <si>
    <t xml:space="preserve"> Napoli U20 </t>
  </si>
  <si>
    <t xml:space="preserve"> Parma U20 </t>
  </si>
  <si>
    <t xml:space="preserve"> Roma U20 </t>
  </si>
  <si>
    <t xml:space="preserve"> Sassuolo U20 </t>
  </si>
  <si>
    <t xml:space="preserve"> Torino U20 </t>
  </si>
  <si>
    <t xml:space="preserve">Arema </t>
  </si>
  <si>
    <t xml:space="preserve"> Barnsley U21 </t>
  </si>
  <si>
    <t xml:space="preserve"> Bournemouth U21 </t>
  </si>
  <si>
    <t xml:space="preserve"> Brentford U21 </t>
  </si>
  <si>
    <t xml:space="preserve"> Bristol C. U21 </t>
  </si>
  <si>
    <t xml:space="preserve"> Cardiff C. U21 </t>
  </si>
  <si>
    <t xml:space="preserve"> Charlton U21 </t>
  </si>
  <si>
    <t xml:space="preserve"> Colchester U21 </t>
  </si>
  <si>
    <t xml:space="preserve"> Coventry U21 </t>
  </si>
  <si>
    <t xml:space="preserve"> Crewe A. U21 </t>
  </si>
  <si>
    <t xml:space="preserve"> Fleetwood U21 </t>
  </si>
  <si>
    <t xml:space="preserve"> Huddersf. U21 </t>
  </si>
  <si>
    <t xml:space="preserve"> Hull City U21 </t>
  </si>
  <si>
    <t xml:space="preserve"> Millwall U21 </t>
  </si>
  <si>
    <t xml:space="preserve"> Peterb. U21 </t>
  </si>
  <si>
    <t xml:space="preserve"> QP Rangers U21 </t>
  </si>
  <si>
    <t xml:space="preserve"> Sheffield U U21 </t>
  </si>
  <si>
    <t xml:space="preserve"> Sheffield W U21 </t>
  </si>
  <si>
    <t xml:space="preserve"> Swansea U21 </t>
  </si>
  <si>
    <t xml:space="preserve"> Watford U21 </t>
  </si>
  <si>
    <t xml:space="preserve"> Wigan U21 </t>
  </si>
  <si>
    <t xml:space="preserve">A. Chloraka </t>
  </si>
  <si>
    <t xml:space="preserve"> Albacete </t>
  </si>
  <si>
    <t xml:space="preserve"> Almeria </t>
  </si>
  <si>
    <t xml:space="preserve"> Burgos </t>
  </si>
  <si>
    <t xml:space="preserve"> Cadiz </t>
  </si>
  <si>
    <t xml:space="preserve"> Castellon </t>
  </si>
  <si>
    <t xml:space="preserve"> Ceuta </t>
  </si>
  <si>
    <t xml:space="preserve"> Cordoba </t>
  </si>
  <si>
    <t xml:space="preserve"> Deportivo </t>
  </si>
  <si>
    <t xml:space="preserve"> Eibar </t>
  </si>
  <si>
    <t xml:space="preserve"> FC Andorra </t>
  </si>
  <si>
    <t xml:space="preserve"> Granada </t>
  </si>
  <si>
    <t xml:space="preserve"> Huesca </t>
  </si>
  <si>
    <t xml:space="preserve"> Las Palmas </t>
  </si>
  <si>
    <t xml:space="preserve"> Leganes </t>
  </si>
  <si>
    <t xml:space="preserve"> Leonesa </t>
  </si>
  <si>
    <t xml:space="preserve"> Malaga </t>
  </si>
  <si>
    <t xml:space="preserve"> Mirandes </t>
  </si>
  <si>
    <t xml:space="preserve"> Racing </t>
  </si>
  <si>
    <t xml:space="preserve"> Real Sociedad B </t>
  </si>
  <si>
    <t xml:space="preserve"> Real Zaragoza </t>
  </si>
  <si>
    <t xml:space="preserve"> Sporting Gijon </t>
  </si>
  <si>
    <t xml:space="preserve"> Valladolid </t>
  </si>
  <si>
    <t xml:space="preserve"> A. Cerignola </t>
  </si>
  <si>
    <t xml:space="preserve"> Altamura </t>
  </si>
  <si>
    <t xml:space="preserve"> Atalanta B </t>
  </si>
  <si>
    <t xml:space="preserve"> Benevento </t>
  </si>
  <si>
    <t xml:space="preserve"> Casarano </t>
  </si>
  <si>
    <t xml:space="preserve"> Casertana </t>
  </si>
  <si>
    <t xml:space="preserve"> Catania </t>
  </si>
  <si>
    <t xml:space="preserve"> Cavese </t>
  </si>
  <si>
    <t xml:space="preserve"> Cosenza </t>
  </si>
  <si>
    <t xml:space="preserve"> Crotone </t>
  </si>
  <si>
    <t xml:space="preserve"> Foggia </t>
  </si>
  <si>
    <t xml:space="preserve"> Giugliano </t>
  </si>
  <si>
    <t xml:space="preserve"> Latina </t>
  </si>
  <si>
    <t xml:space="preserve"> Monopoli </t>
  </si>
  <si>
    <t xml:space="preserve"> Picerno </t>
  </si>
  <si>
    <t xml:space="preserve"> Potenza </t>
  </si>
  <si>
    <t xml:space="preserve"> Salernitana </t>
  </si>
  <si>
    <t xml:space="preserve"> Siracusa </t>
  </si>
  <si>
    <t xml:space="preserve"> Sorrento </t>
  </si>
  <si>
    <t xml:space="preserve"> Trapani </t>
  </si>
  <si>
    <t xml:space="preserve"> AF Elbasani </t>
  </si>
  <si>
    <t xml:space="preserve"> Bylis </t>
  </si>
  <si>
    <t xml:space="preserve"> Dinamo Tirana </t>
  </si>
  <si>
    <t xml:space="preserve"> Egnatia R. </t>
  </si>
  <si>
    <t xml:space="preserve"> Flamurtari </t>
  </si>
  <si>
    <t xml:space="preserve"> KF Tirana </t>
  </si>
  <si>
    <t xml:space="preserve"> Partizani T. </t>
  </si>
  <si>
    <t xml:space="preserve"> Teuta Durres </t>
  </si>
  <si>
    <t xml:space="preserve"> Vllaznia S. </t>
  </si>
  <si>
    <t xml:space="preserve"> Vora </t>
  </si>
  <si>
    <t xml:space="preserve"> Al Ahli Doha </t>
  </si>
  <si>
    <t xml:space="preserve">Atalanta U20 </t>
  </si>
  <si>
    <t xml:space="preserve">Al Ahli Jeddah </t>
  </si>
  <si>
    <t xml:space="preserve">Aubagne </t>
  </si>
  <si>
    <t xml:space="preserve"> Bourg-en-Bresse </t>
  </si>
  <si>
    <t xml:space="preserve"> Caen </t>
  </si>
  <si>
    <t xml:space="preserve"> Chateauroux </t>
  </si>
  <si>
    <t xml:space="preserve"> Concarneau </t>
  </si>
  <si>
    <t xml:space="preserve"> Dijon </t>
  </si>
  <si>
    <t xml:space="preserve"> Fleury-Merogis </t>
  </si>
  <si>
    <t xml:space="preserve"> Le Puy </t>
  </si>
  <si>
    <t xml:space="preserve"> Orleans </t>
  </si>
  <si>
    <t xml:space="preserve"> Paris 13 A. </t>
  </si>
  <si>
    <t xml:space="preserve"> Quevilly Rouen </t>
  </si>
  <si>
    <t xml:space="preserve"> Rouen </t>
  </si>
  <si>
    <t xml:space="preserve"> Sochaux </t>
  </si>
  <si>
    <t xml:space="preserve"> Stade Briochin </t>
  </si>
  <si>
    <t xml:space="preserve"> Valenciennes </t>
  </si>
  <si>
    <t xml:space="preserve"> Versailles </t>
  </si>
  <si>
    <t xml:space="preserve"> Villefranche </t>
  </si>
  <si>
    <t xml:space="preserve">Eastern </t>
  </si>
  <si>
    <t xml:space="preserve"> Davao Aguilas </t>
  </si>
  <si>
    <t xml:space="preserve"> Garelli Utd </t>
  </si>
  <si>
    <t xml:space="preserve"> Kaya FC </t>
  </si>
  <si>
    <t xml:space="preserve"> Maharlika </t>
  </si>
  <si>
    <t xml:space="preserve"> Manila Digger </t>
  </si>
  <si>
    <t xml:space="preserve"> Mendiola </t>
  </si>
  <si>
    <t xml:space="preserve"> One Taguig </t>
  </si>
  <si>
    <t xml:space="preserve"> Philippine Army </t>
  </si>
  <si>
    <t xml:space="preserve"> Stallion </t>
  </si>
  <si>
    <t xml:space="preserve"> Tuloy FC </t>
  </si>
  <si>
    <t xml:space="preserve">Adana Demirspor </t>
  </si>
  <si>
    <t xml:space="preserve"> Birmingham City </t>
  </si>
  <si>
    <t xml:space="preserve"> Blackburn </t>
  </si>
  <si>
    <t xml:space="preserve"> Bristol City </t>
  </si>
  <si>
    <t xml:space="preserve"> Charlton </t>
  </si>
  <si>
    <t xml:space="preserve"> Coventry City </t>
  </si>
  <si>
    <t xml:space="preserve"> Derby County </t>
  </si>
  <si>
    <t xml:space="preserve"> Hull City </t>
  </si>
  <si>
    <t xml:space="preserve"> Ipswich Town </t>
  </si>
  <si>
    <t xml:space="preserve"> Leicester City </t>
  </si>
  <si>
    <t xml:space="preserve"> Middlesbrough </t>
  </si>
  <si>
    <t xml:space="preserve"> Millwall </t>
  </si>
  <si>
    <t xml:space="preserve"> Norwich City </t>
  </si>
  <si>
    <t xml:space="preserve"> Oxford Utd </t>
  </si>
  <si>
    <t xml:space="preserve"> Portsmouth </t>
  </si>
  <si>
    <t xml:space="preserve"> Preston </t>
  </si>
  <si>
    <t xml:space="preserve"> QP Rangers </t>
  </si>
  <si>
    <t xml:space="preserve"> Sheffield Utd </t>
  </si>
  <si>
    <t xml:space="preserve"> Sheffield Wed </t>
  </si>
  <si>
    <t xml:space="preserve"> Southampton </t>
  </si>
  <si>
    <t xml:space="preserve"> Stoke City </t>
  </si>
  <si>
    <t xml:space="preserve"> Swansea City </t>
  </si>
  <si>
    <t xml:space="preserve"> Watford </t>
  </si>
  <si>
    <t xml:space="preserve"> West Brom </t>
  </si>
  <si>
    <t xml:space="preserve"> Wrexham </t>
  </si>
  <si>
    <t xml:space="preserve"> Accrington </t>
  </si>
  <si>
    <t xml:space="preserve">Arsenal </t>
  </si>
  <si>
    <t xml:space="preserve"> Anderlecht B </t>
  </si>
  <si>
    <t xml:space="preserve"> Beerschot </t>
  </si>
  <si>
    <t xml:space="preserve"> Beveren </t>
  </si>
  <si>
    <t xml:space="preserve"> Club Brugge B </t>
  </si>
  <si>
    <t xml:space="preserve"> Eupen </t>
  </si>
  <si>
    <t xml:space="preserve"> Francs Borains </t>
  </si>
  <si>
    <t xml:space="preserve"> Jong Gent </t>
  </si>
  <si>
    <t xml:space="preserve"> Kortrijk </t>
  </si>
  <si>
    <t xml:space="preserve"> KRC Genk B </t>
  </si>
  <si>
    <t xml:space="preserve"> Lierse K. </t>
  </si>
  <si>
    <t xml:space="preserve"> Lokeren-Temse </t>
  </si>
  <si>
    <t xml:space="preserve"> Lommel SK </t>
  </si>
  <si>
    <t xml:space="preserve"> OC Charleroi </t>
  </si>
  <si>
    <t xml:space="preserve"> Patro Eisden </t>
  </si>
  <si>
    <t xml:space="preserve"> RFC Liege </t>
  </si>
  <si>
    <t xml:space="preserve"> RWDM </t>
  </si>
  <si>
    <t xml:space="preserve"> Seraing </t>
  </si>
  <si>
    <t xml:space="preserve"> Ajax Amsterdam </t>
  </si>
  <si>
    <t xml:space="preserve"> AZ Alkmaar </t>
  </si>
  <si>
    <t xml:space="preserve"> Excelsior </t>
  </si>
  <si>
    <t xml:space="preserve"> FC Groningen </t>
  </si>
  <si>
    <t xml:space="preserve"> FC Twente </t>
  </si>
  <si>
    <t xml:space="preserve"> FC Utrecht </t>
  </si>
  <si>
    <t xml:space="preserve"> FC Volendam </t>
  </si>
  <si>
    <t xml:space="preserve"> Feyenoord </t>
  </si>
  <si>
    <t xml:space="preserve"> Fortuna Sittard </t>
  </si>
  <si>
    <t xml:space="preserve"> Go Ahead Eagles </t>
  </si>
  <si>
    <t xml:space="preserve"> Heerenveen </t>
  </si>
  <si>
    <t xml:space="preserve"> Heracles Almelo </t>
  </si>
  <si>
    <t xml:space="preserve"> NAC Breda </t>
  </si>
  <si>
    <t xml:space="preserve"> NEC Nijmegen </t>
  </si>
  <si>
    <t xml:space="preserve"> PEC Zwolle </t>
  </si>
  <si>
    <t xml:space="preserve"> PSV Eindhoven </t>
  </si>
  <si>
    <t xml:space="preserve"> Sparta </t>
  </si>
  <si>
    <t xml:space="preserve"> Telstar </t>
  </si>
  <si>
    <t xml:space="preserve"> Alanyaspor </t>
  </si>
  <si>
    <t xml:space="preserve"> Antalyaspor </t>
  </si>
  <si>
    <t xml:space="preserve"> Basaksehir </t>
  </si>
  <si>
    <t xml:space="preserve"> Besiktas </t>
  </si>
  <si>
    <t xml:space="preserve"> Eyupspor </t>
  </si>
  <si>
    <t xml:space="preserve"> F. Karagumruk </t>
  </si>
  <si>
    <t xml:space="preserve"> Fenerbahce </t>
  </si>
  <si>
    <t xml:space="preserve"> Galatasaray </t>
  </si>
  <si>
    <t xml:space="preserve"> Gaziantep </t>
  </si>
  <si>
    <t xml:space="preserve"> Genclerbirligi </t>
  </si>
  <si>
    <t xml:space="preserve"> Goztepe </t>
  </si>
  <si>
    <t xml:space="preserve"> Kasimpasa </t>
  </si>
  <si>
    <t xml:space="preserve"> Kayserispor </t>
  </si>
  <si>
    <t xml:space="preserve"> Kocaelispor </t>
  </si>
  <si>
    <t xml:space="preserve"> Konyaspor </t>
  </si>
  <si>
    <t xml:space="preserve"> Rizespor </t>
  </si>
  <si>
    <t xml:space="preserve"> Samsunspor </t>
  </si>
  <si>
    <t xml:space="preserve"> Trabzonspor </t>
  </si>
  <si>
    <t xml:space="preserve"> Bielefeld </t>
  </si>
  <si>
    <t xml:space="preserve"> Bochum </t>
  </si>
  <si>
    <t xml:space="preserve"> Braunschweig </t>
  </si>
  <si>
    <t xml:space="preserve"> Darmstadt </t>
  </si>
  <si>
    <t xml:space="preserve"> Dusseldorf </t>
  </si>
  <si>
    <t xml:space="preserve"> Dynamo Dresden </t>
  </si>
  <si>
    <t xml:space="preserve"> Elversberg </t>
  </si>
  <si>
    <t xml:space="preserve"> FC Nurnberg </t>
  </si>
  <si>
    <t xml:space="preserve"> Greuther Furth </t>
  </si>
  <si>
    <t xml:space="preserve"> Hannover 96 </t>
  </si>
  <si>
    <t xml:space="preserve"> Hertha Berlin </t>
  </si>
  <si>
    <t xml:space="preserve"> Holstein Kiel </t>
  </si>
  <si>
    <t xml:space="preserve"> Kaiserslautern </t>
  </si>
  <si>
    <t xml:space="preserve"> Karlsruher SC </t>
  </si>
  <si>
    <t xml:space="preserve"> Magdeburg </t>
  </si>
  <si>
    <t xml:space="preserve"> Paderborn </t>
  </si>
  <si>
    <t xml:space="preserve"> Preuss. Munster </t>
  </si>
  <si>
    <t xml:space="preserve"> Schalke 04 </t>
  </si>
  <si>
    <t xml:space="preserve"> Anderlecht </t>
  </si>
  <si>
    <t xml:space="preserve"> Antwerp </t>
  </si>
  <si>
    <t xml:space="preserve"> Cercle Brugge </t>
  </si>
  <si>
    <t xml:space="preserve"> Charleroi </t>
  </si>
  <si>
    <t xml:space="preserve"> Club Brugge </t>
  </si>
  <si>
    <t xml:space="preserve"> Dender </t>
  </si>
  <si>
    <t xml:space="preserve"> Gent </t>
  </si>
  <si>
    <t xml:space="preserve"> KRC Genk </t>
  </si>
  <si>
    <t xml:space="preserve"> KV Mechelen </t>
  </si>
  <si>
    <t xml:space="preserve"> La Louviere </t>
  </si>
  <si>
    <t xml:space="preserve"> OH Leuven </t>
  </si>
  <si>
    <t xml:space="preserve"> Royale Union SG </t>
  </si>
  <si>
    <t xml:space="preserve"> Sint-Truiden </t>
  </si>
  <si>
    <t xml:space="preserve"> Standard Liege </t>
  </si>
  <si>
    <t xml:space="preserve"> Westerlo </t>
  </si>
  <si>
    <t xml:space="preserve"> Zulte-Waregem </t>
  </si>
  <si>
    <t xml:space="preserve"> AGF Aarhus </t>
  </si>
  <si>
    <t xml:space="preserve"> Brondby IF </t>
  </si>
  <si>
    <t xml:space="preserve"> FC Kobenhavn </t>
  </si>
  <si>
    <t xml:space="preserve"> FC Midtjylland </t>
  </si>
  <si>
    <t xml:space="preserve"> Fredericia </t>
  </si>
  <si>
    <t xml:space="preserve"> Nordsjaelland </t>
  </si>
  <si>
    <t xml:space="preserve"> Odense BK </t>
  </si>
  <si>
    <t xml:space="preserve"> Randers FC </t>
  </si>
  <si>
    <t xml:space="preserve"> Silkeborg </t>
  </si>
  <si>
    <t xml:space="preserve"> SonderjyskE </t>
  </si>
  <si>
    <t xml:space="preserve"> Vejle BK </t>
  </si>
  <si>
    <t xml:space="preserve"> Viborg </t>
  </si>
  <si>
    <t xml:space="preserve"> Alverca </t>
  </si>
  <si>
    <t xml:space="preserve"> Angers </t>
  </si>
  <si>
    <t xml:space="preserve"> Auxerre </t>
  </si>
  <si>
    <t xml:space="preserve"> Brest </t>
  </si>
  <si>
    <t xml:space="preserve"> Le Havre </t>
  </si>
  <si>
    <t xml:space="preserve"> Lens </t>
  </si>
  <si>
    <t xml:space="preserve"> Lille </t>
  </si>
  <si>
    <t xml:space="preserve"> Lorient </t>
  </si>
  <si>
    <t xml:space="preserve"> Lyon </t>
  </si>
  <si>
    <t xml:space="preserve"> Marseille </t>
  </si>
  <si>
    <t xml:space="preserve"> Metz </t>
  </si>
  <si>
    <t xml:space="preserve"> Monaco </t>
  </si>
  <si>
    <t xml:space="preserve"> Nantes </t>
  </si>
  <si>
    <t xml:space="preserve"> Nice </t>
  </si>
  <si>
    <t xml:space="preserve"> Paris FC </t>
  </si>
  <si>
    <t xml:space="preserve"> Paris SG </t>
  </si>
  <si>
    <t xml:space="preserve"> Rennes </t>
  </si>
  <si>
    <t xml:space="preserve"> Strasbourg </t>
  </si>
  <si>
    <t xml:space="preserve"> Toulouse </t>
  </si>
  <si>
    <t xml:space="preserve">Bielefeld </t>
  </si>
  <si>
    <t xml:space="preserve"> AS Biellese </t>
  </si>
  <si>
    <t xml:space="preserve"> Asti </t>
  </si>
  <si>
    <t xml:space="preserve"> Cairese </t>
  </si>
  <si>
    <t xml:space="preserve"> Celle Varazze </t>
  </si>
  <si>
    <t xml:space="preserve"> Chisola </t>
  </si>
  <si>
    <t xml:space="preserve"> Citta di Varese </t>
  </si>
  <si>
    <t xml:space="preserve"> Club Milano </t>
  </si>
  <si>
    <t xml:space="preserve"> Derthona </t>
  </si>
  <si>
    <t xml:space="preserve"> Gozzano </t>
  </si>
  <si>
    <t xml:space="preserve"> Lavagnese </t>
  </si>
  <si>
    <t xml:space="preserve"> Ligorna </t>
  </si>
  <si>
    <t xml:space="preserve"> NovaRomentin </t>
  </si>
  <si>
    <t xml:space="preserve"> Pro Imperia </t>
  </si>
  <si>
    <t xml:space="preserve"> Saluzzo </t>
  </si>
  <si>
    <t xml:space="preserve"> Sanremese </t>
  </si>
  <si>
    <t xml:space="preserve"> Sestri Levante </t>
  </si>
  <si>
    <t xml:space="preserve"> Vado </t>
  </si>
  <si>
    <t xml:space="preserve"> Valenzana </t>
  </si>
  <si>
    <t xml:space="preserve">ADO Den Haag W </t>
  </si>
  <si>
    <t xml:space="preserve"> Ajax W </t>
  </si>
  <si>
    <t xml:space="preserve"> AZ W </t>
  </si>
  <si>
    <t xml:space="preserve"> Excelsior W </t>
  </si>
  <si>
    <t xml:space="preserve"> FC Twente W </t>
  </si>
  <si>
    <t xml:space="preserve"> Feyenoord W </t>
  </si>
  <si>
    <t xml:space="preserve"> Heerenveen W </t>
  </si>
  <si>
    <t xml:space="preserve"> HERA </t>
  </si>
  <si>
    <t xml:space="preserve"> NAC Breda W </t>
  </si>
  <si>
    <t xml:space="preserve"> PEC Zwolle W </t>
  </si>
  <si>
    <t xml:space="preserve"> PSV Eindhoven W </t>
  </si>
  <si>
    <t xml:space="preserve"> Utrecht W </t>
  </si>
  <si>
    <t xml:space="preserve">Alanyaspor </t>
  </si>
  <si>
    <t xml:space="preserve"> A. Contractors </t>
  </si>
  <si>
    <t xml:space="preserve"> Al Ahly </t>
  </si>
  <si>
    <t xml:space="preserve"> Al Masry </t>
  </si>
  <si>
    <t xml:space="preserve"> Ceramica C. </t>
  </si>
  <si>
    <t xml:space="preserve"> El Geish </t>
  </si>
  <si>
    <t xml:space="preserve"> El Gouna </t>
  </si>
  <si>
    <t xml:space="preserve"> ENPPI </t>
  </si>
  <si>
    <t xml:space="preserve"> Ghazl El M. </t>
  </si>
  <si>
    <t xml:space="preserve"> Haras El Hodood </t>
  </si>
  <si>
    <t xml:space="preserve"> Ismaily </t>
  </si>
  <si>
    <t xml:space="preserve"> Kahraba Ismaili </t>
  </si>
  <si>
    <t xml:space="preserve"> Modern Sport </t>
  </si>
  <si>
    <t xml:space="preserve"> National Bank </t>
  </si>
  <si>
    <t xml:space="preserve"> Petrojet </t>
  </si>
  <si>
    <t xml:space="preserve"> Pharco </t>
  </si>
  <si>
    <t xml:space="preserve"> Pyramids FC </t>
  </si>
  <si>
    <t xml:space="preserve"> Smouha </t>
  </si>
  <si>
    <t xml:space="preserve"> Wadi Degla </t>
  </si>
  <si>
    <t xml:space="preserve"> Zamalek </t>
  </si>
  <si>
    <t xml:space="preserve"> ZED FC </t>
  </si>
  <si>
    <t xml:space="preserve"> Cailungo </t>
  </si>
  <si>
    <t xml:space="preserve"> Cosmos </t>
  </si>
  <si>
    <t xml:space="preserve"> Domagnano </t>
  </si>
  <si>
    <t xml:space="preserve"> Faetano </t>
  </si>
  <si>
    <t xml:space="preserve"> Fiorentino </t>
  </si>
  <si>
    <t xml:space="preserve"> Folgore </t>
  </si>
  <si>
    <t xml:space="preserve"> Juvenes/D. </t>
  </si>
  <si>
    <t xml:space="preserve"> La Fiorita </t>
  </si>
  <si>
    <t xml:space="preserve"> Libertas </t>
  </si>
  <si>
    <t xml:space="preserve"> Murata </t>
  </si>
  <si>
    <t xml:space="preserve"> Pennarossa </t>
  </si>
  <si>
    <t xml:space="preserve"> San Giovanni </t>
  </si>
  <si>
    <t xml:space="preserve"> SM Academy </t>
  </si>
  <si>
    <t xml:space="preserve"> Tre Fiori </t>
  </si>
  <si>
    <t xml:space="preserve"> Tre Penne </t>
  </si>
  <si>
    <t xml:space="preserve"> Virtus </t>
  </si>
  <si>
    <t xml:space="preserve"> College 1975 </t>
  </si>
  <si>
    <t xml:space="preserve"> Europa FC </t>
  </si>
  <si>
    <t xml:space="preserve"> Europa Point </t>
  </si>
  <si>
    <t xml:space="preserve"> Glacis Utd </t>
  </si>
  <si>
    <t xml:space="preserve"> Hound Dogs </t>
  </si>
  <si>
    <t xml:space="preserve"> Lincoln RI </t>
  </si>
  <si>
    <t xml:space="preserve"> Lions FC </t>
  </si>
  <si>
    <t xml:space="preserve"> Lynx </t>
  </si>
  <si>
    <t xml:space="preserve"> Magpies </t>
  </si>
  <si>
    <t xml:space="preserve"> Manchester 62 </t>
  </si>
  <si>
    <t xml:space="preserve"> Mons Calpe </t>
  </si>
  <si>
    <t xml:space="preserve"> St Josephs </t>
  </si>
  <si>
    <t xml:space="preserve"> A. Tucuman </t>
  </si>
  <si>
    <t xml:space="preserve"> Aldosivi </t>
  </si>
  <si>
    <t xml:space="preserve"> Argentinos Jrs </t>
  </si>
  <si>
    <t xml:space="preserve"> Banfield </t>
  </si>
  <si>
    <t xml:space="preserve"> Barracas C. </t>
  </si>
  <si>
    <t xml:space="preserve"> Belgrano </t>
  </si>
  <si>
    <t xml:space="preserve"> Boca Juniors </t>
  </si>
  <si>
    <t xml:space="preserve"> Central Cordoba </t>
  </si>
  <si>
    <t xml:space="preserve"> D. Riestra </t>
  </si>
  <si>
    <t xml:space="preserve"> Defensa y J. </t>
  </si>
  <si>
    <t xml:space="preserve"> Estudiantes </t>
  </si>
  <si>
    <t xml:space="preserve"> Gimnasia </t>
  </si>
  <si>
    <t xml:space="preserve"> Godoy Cruz </t>
  </si>
  <si>
    <t xml:space="preserve"> Huracan </t>
  </si>
  <si>
    <t xml:space="preserve"> I. Rivadavia </t>
  </si>
  <si>
    <t xml:space="preserve"> Independiente </t>
  </si>
  <si>
    <t xml:space="preserve"> Instituto </t>
  </si>
  <si>
    <t xml:space="preserve"> Lanus </t>
  </si>
  <si>
    <t xml:space="preserve"> Newells </t>
  </si>
  <si>
    <t xml:space="preserve"> Platense </t>
  </si>
  <si>
    <t xml:space="preserve"> Racing Club </t>
  </si>
  <si>
    <t xml:space="preserve"> River Plate </t>
  </si>
  <si>
    <t xml:space="preserve"> Rosario Central </t>
  </si>
  <si>
    <t xml:space="preserve"> San Lorenzo </t>
  </si>
  <si>
    <t xml:space="preserve"> Sarmiento </t>
  </si>
  <si>
    <t xml:space="preserve"> SM San Juan </t>
  </si>
  <si>
    <t xml:space="preserve"> T. de Cordoba </t>
  </si>
  <si>
    <t xml:space="preserve"> Tigre </t>
  </si>
  <si>
    <t xml:space="preserve"> Union Santa Fe </t>
  </si>
  <si>
    <t xml:space="preserve"> Velez Sarsfield </t>
  </si>
  <si>
    <t xml:space="preserve"> Aubagne </t>
  </si>
  <si>
    <t xml:space="preserve"> Amiens </t>
  </si>
  <si>
    <t xml:space="preserve"> Annecy </t>
  </si>
  <si>
    <t xml:space="preserve"> Boulogne </t>
  </si>
  <si>
    <t xml:space="preserve"> Clermont </t>
  </si>
  <si>
    <t xml:space="preserve"> Grenoble </t>
  </si>
  <si>
    <t xml:space="preserve"> Guingamp </t>
  </si>
  <si>
    <t xml:space="preserve"> Laval </t>
  </si>
  <si>
    <t xml:space="preserve"> Le Mans </t>
  </si>
  <si>
    <t xml:space="preserve"> Montpellier </t>
  </si>
  <si>
    <t xml:space="preserve"> Nancy </t>
  </si>
  <si>
    <t xml:space="preserve"> Pau FC </t>
  </si>
  <si>
    <t xml:space="preserve"> Red Star </t>
  </si>
  <si>
    <t xml:space="preserve"> Reims </t>
  </si>
  <si>
    <t xml:space="preserve"> Rodez Aveyron </t>
  </si>
  <si>
    <t xml:space="preserve"> Saint-Etienne </t>
  </si>
  <si>
    <t xml:space="preserve"> SC Bastia </t>
  </si>
  <si>
    <t xml:space="preserve"> Troyes </t>
  </si>
  <si>
    <t xml:space="preserve"> USL Dunkerque </t>
  </si>
  <si>
    <t xml:space="preserve"> Ballymena Utd </t>
  </si>
  <si>
    <t xml:space="preserve"> Bangor </t>
  </si>
  <si>
    <t xml:space="preserve"> Carrick Rangers </t>
  </si>
  <si>
    <t xml:space="preserve"> Cliftonville </t>
  </si>
  <si>
    <t xml:space="preserve"> Coleraine </t>
  </si>
  <si>
    <t xml:space="preserve"> Crusaders </t>
  </si>
  <si>
    <t xml:space="preserve"> Dungannon </t>
  </si>
  <si>
    <t xml:space="preserve"> Glenavon </t>
  </si>
  <si>
    <t xml:space="preserve"> Glentoran </t>
  </si>
  <si>
    <t xml:space="preserve"> Larne </t>
  </si>
  <si>
    <t xml:space="preserve"> Linfield </t>
  </si>
  <si>
    <t xml:space="preserve"> Portadown </t>
  </si>
  <si>
    <t xml:space="preserve"> Eastern D. </t>
  </si>
  <si>
    <t xml:space="preserve"> Eastern SC </t>
  </si>
  <si>
    <t xml:space="preserve"> Lee Man </t>
  </si>
  <si>
    <t xml:space="preserve">Avellino </t>
  </si>
  <si>
    <t xml:space="preserve"> Bari </t>
  </si>
  <si>
    <t xml:space="preserve"> Carrarese </t>
  </si>
  <si>
    <t xml:space="preserve"> Catanzaro </t>
  </si>
  <si>
    <t xml:space="preserve"> Cesena </t>
  </si>
  <si>
    <t xml:space="preserve"> Empoli </t>
  </si>
  <si>
    <t xml:space="preserve"> Entella </t>
  </si>
  <si>
    <t xml:space="preserve"> Frosinone </t>
  </si>
  <si>
    <t xml:space="preserve"> Juve Stabia </t>
  </si>
  <si>
    <t xml:space="preserve"> Mantova </t>
  </si>
  <si>
    <t xml:space="preserve"> Modena </t>
  </si>
  <si>
    <t xml:space="preserve"> Monza </t>
  </si>
  <si>
    <t xml:space="preserve"> Padova </t>
  </si>
  <si>
    <t xml:space="preserve"> Palermo </t>
  </si>
  <si>
    <t xml:space="preserve"> Pescara </t>
  </si>
  <si>
    <t xml:space="preserve"> Reggiana </t>
  </si>
  <si>
    <t xml:space="preserve"> Sampdoria </t>
  </si>
  <si>
    <t xml:space="preserve"> Spezia </t>
  </si>
  <si>
    <t xml:space="preserve"> Sudtirol </t>
  </si>
  <si>
    <t xml:space="preserve"> Venezia </t>
  </si>
  <si>
    <t xml:space="preserve">Dinamo Zagreb </t>
  </si>
  <si>
    <t xml:space="preserve"> Gorica </t>
  </si>
  <si>
    <t xml:space="preserve"> Hajduk Split </t>
  </si>
  <si>
    <t xml:space="preserve"> Istra </t>
  </si>
  <si>
    <t xml:space="preserve"> Lok. Zagreb </t>
  </si>
  <si>
    <t xml:space="preserve"> Osijek </t>
  </si>
  <si>
    <t xml:space="preserve"> Rijeka </t>
  </si>
  <si>
    <t xml:space="preserve"> Slaven Belupo </t>
  </si>
  <si>
    <t xml:space="preserve"> Varazdin </t>
  </si>
  <si>
    <t xml:space="preserve"> Vukovar </t>
  </si>
  <si>
    <t xml:space="preserve"> A. San Luis </t>
  </si>
  <si>
    <t xml:space="preserve"> Atlas </t>
  </si>
  <si>
    <t xml:space="preserve"> CF America </t>
  </si>
  <si>
    <t xml:space="preserve"> Club Leon </t>
  </si>
  <si>
    <t xml:space="preserve"> Cruz Azul </t>
  </si>
  <si>
    <t xml:space="preserve"> Guadalajara </t>
  </si>
  <si>
    <t xml:space="preserve"> Juarez </t>
  </si>
  <si>
    <t xml:space="preserve"> Mazatlan </t>
  </si>
  <si>
    <t xml:space="preserve"> Monterrey </t>
  </si>
  <si>
    <t xml:space="preserve"> Necaxa </t>
  </si>
  <si>
    <t xml:space="preserve"> Pachuca </t>
  </si>
  <si>
    <t xml:space="preserve"> Puebla </t>
  </si>
  <si>
    <t xml:space="preserve"> Pumas UNAM </t>
  </si>
  <si>
    <t xml:space="preserve"> Queretaro </t>
  </si>
  <si>
    <t xml:space="preserve"> Santos Laguna </t>
  </si>
  <si>
    <t xml:space="preserve"> Tigres </t>
  </si>
  <si>
    <t xml:space="preserve"> Tijuana </t>
  </si>
  <si>
    <t xml:space="preserve"> Toluca </t>
  </si>
  <si>
    <t xml:space="preserve">FC Wimbledon </t>
  </si>
  <si>
    <t xml:space="preserve"> Achuapa </t>
  </si>
  <si>
    <t xml:space="preserve"> Antigua GFC </t>
  </si>
  <si>
    <t xml:space="preserve"> Coban Imperial </t>
  </si>
  <si>
    <t xml:space="preserve"> Comunicaciones </t>
  </si>
  <si>
    <t xml:space="preserve"> Guastatoya </t>
  </si>
  <si>
    <t xml:space="preserve"> Malacateco </t>
  </si>
  <si>
    <t xml:space="preserve"> Marquense </t>
  </si>
  <si>
    <t xml:space="preserve"> Mixco </t>
  </si>
  <si>
    <t xml:space="preserve"> Municipal </t>
  </si>
  <si>
    <t xml:space="preserve"> Xelaju </t>
  </si>
  <si>
    <t xml:space="preserve"> Xinabajul </t>
  </si>
  <si>
    <t xml:space="preserve">Eastern D. </t>
  </si>
  <si>
    <t xml:space="preserve">AFC Wimbledon </t>
  </si>
  <si>
    <t xml:space="preserve">AFC Totton </t>
  </si>
  <si>
    <t>{</t>
  </si>
  <si>
    <t xml:space="preserve">Aluminium Arak </t>
  </si>
  <si>
    <t xml:space="preserve"> Chadormalu </t>
  </si>
  <si>
    <t xml:space="preserve"> E. Khuzestan </t>
  </si>
  <si>
    <t xml:space="preserve"> Esteghlal </t>
  </si>
  <si>
    <t xml:space="preserve"> Fajr Sepasi </t>
  </si>
  <si>
    <t xml:space="preserve"> Foolad </t>
  </si>
  <si>
    <t xml:space="preserve"> Gol Gohar </t>
  </si>
  <si>
    <t xml:space="preserve"> K. Khorramabad </t>
  </si>
  <si>
    <t xml:space="preserve"> Malavan </t>
  </si>
  <si>
    <t xml:space="preserve"> Mes Rafsanjan </t>
  </si>
  <si>
    <t xml:space="preserve"> Paykan </t>
  </si>
  <si>
    <t xml:space="preserve"> Persepolis </t>
  </si>
  <si>
    <t xml:space="preserve"> Sepahan </t>
  </si>
  <si>
    <t xml:space="preserve"> Shams A. Qazvin </t>
  </si>
  <si>
    <t xml:space="preserve"> Tractor Sazi </t>
  </si>
  <si>
    <t xml:space="preserve"> Zob Ahan </t>
  </si>
  <si>
    <t xml:space="preserve">4 Erzincanspor </t>
  </si>
  <si>
    <t xml:space="preserve"> 12 Bingolspor </t>
  </si>
  <si>
    <t xml:space="preserve"> Agri 1970 </t>
  </si>
  <si>
    <t xml:space="preserve"> Diyarbekirspor </t>
  </si>
  <si>
    <t xml:space="preserve"> Erciyes </t>
  </si>
  <si>
    <t xml:space="preserve"> Kahramanmar. </t>
  </si>
  <si>
    <t xml:space="preserve"> Karakopru </t>
  </si>
  <si>
    <t xml:space="preserve"> Kilis Belediyes </t>
  </si>
  <si>
    <t xml:space="preserve"> Kirikkale B. </t>
  </si>
  <si>
    <t xml:space="preserve"> Kirsehir B. </t>
  </si>
  <si>
    <t xml:space="preserve"> Mazidagi </t>
  </si>
  <si>
    <t xml:space="preserve"> Nigde Belediyes </t>
  </si>
  <si>
    <t xml:space="preserve"> Osmaniyespor </t>
  </si>
  <si>
    <t xml:space="preserve"> Silifke </t>
  </si>
  <si>
    <t xml:space="preserve"> Suvermez </t>
  </si>
  <si>
    <t xml:space="preserve"> Turk Metal 1963 </t>
  </si>
  <si>
    <t xml:space="preserve"> Yesilyurtspor </t>
  </si>
  <si>
    <t xml:space="preserve"> Amasyaspor </t>
  </si>
  <si>
    <t xml:space="preserve"> Artvin Hopaspor </t>
  </si>
  <si>
    <t xml:space="preserve"> Bulancakspor </t>
  </si>
  <si>
    <t xml:space="preserve"> Cayelispor </t>
  </si>
  <si>
    <t xml:space="preserve"> Duzcespor </t>
  </si>
  <si>
    <t xml:space="preserve"> Fatsa B. </t>
  </si>
  <si>
    <t xml:space="preserve"> Giresunspor </t>
  </si>
  <si>
    <t xml:space="preserve"> K. Eregli </t>
  </si>
  <si>
    <t xml:space="preserve"> K. Idmanyurdu </t>
  </si>
  <si>
    <t xml:space="preserve"> Orduspor </t>
  </si>
  <si>
    <t xml:space="preserve"> Orduspor 1967 </t>
  </si>
  <si>
    <t xml:space="preserve"> Pazarspor </t>
  </si>
  <si>
    <t xml:space="preserve"> Sebat G. </t>
  </si>
  <si>
    <t xml:space="preserve"> Tokat </t>
  </si>
  <si>
    <t xml:space="preserve"> Yozgat </t>
  </si>
  <si>
    <t xml:space="preserve"> Z. Komurspor </t>
  </si>
  <si>
    <t xml:space="preserve"> Araz </t>
  </si>
  <si>
    <t xml:space="preserve"> Imisli </t>
  </si>
  <si>
    <t xml:space="preserve"> Kapaz </t>
  </si>
  <si>
    <t xml:space="preserve"> Karvan </t>
  </si>
  <si>
    <t xml:space="preserve"> Neftci </t>
  </si>
  <si>
    <t xml:space="preserve"> Qabala </t>
  </si>
  <si>
    <t xml:space="preserve"> Qarabag </t>
  </si>
  <si>
    <t xml:space="preserve"> Shamakhi </t>
  </si>
  <si>
    <t xml:space="preserve"> Sumqayit </t>
  </si>
  <si>
    <t xml:space="preserve"> Turan </t>
  </si>
  <si>
    <t xml:space="preserve"> Zira </t>
  </si>
  <si>
    <t xml:space="preserve">Binh Duong </t>
  </si>
  <si>
    <t xml:space="preserve"> Cong An Nhan </t>
  </si>
  <si>
    <t xml:space="preserve"> Da Nang </t>
  </si>
  <si>
    <t xml:space="preserve"> Gia Lai </t>
  </si>
  <si>
    <t xml:space="preserve"> Ha Noi </t>
  </si>
  <si>
    <t xml:space="preserve"> Hai Phong </t>
  </si>
  <si>
    <t xml:space="preserve"> Ho Chi Minh </t>
  </si>
  <si>
    <t xml:space="preserve"> Hong Linh Ha T. </t>
  </si>
  <si>
    <t xml:space="preserve"> Nam Dinh </t>
  </si>
  <si>
    <t xml:space="preserve"> Phu Dong </t>
  </si>
  <si>
    <t xml:space="preserve"> PVF-CAND </t>
  </si>
  <si>
    <t xml:space="preserve"> Song Lam Nghe </t>
  </si>
  <si>
    <t xml:space="preserve"> Thanh Hoa </t>
  </si>
  <si>
    <t xml:space="preserve"> Viettel </t>
  </si>
  <si>
    <t xml:space="preserve"> Backa Topola </t>
  </si>
  <si>
    <t xml:space="preserve"> Cukaricki </t>
  </si>
  <si>
    <t xml:space="preserve"> IMT N. Beograd </t>
  </si>
  <si>
    <t xml:space="preserve"> Javor Ivanjica </t>
  </si>
  <si>
    <t xml:space="preserve"> Mladost Lucani </t>
  </si>
  <si>
    <t xml:space="preserve"> Napredak </t>
  </si>
  <si>
    <t xml:space="preserve"> Novi Pazar </t>
  </si>
  <si>
    <t xml:space="preserve"> OFK Beograd </t>
  </si>
  <si>
    <t xml:space="preserve"> Partizan </t>
  </si>
  <si>
    <t xml:space="preserve"> R. Surdulica </t>
  </si>
  <si>
    <t xml:space="preserve"> Radnicki 1923 </t>
  </si>
  <si>
    <t xml:space="preserve"> Radnicki Nis </t>
  </si>
  <si>
    <t xml:space="preserve"> S. Subotica </t>
  </si>
  <si>
    <t xml:space="preserve"> Vojvodina </t>
  </si>
  <si>
    <t xml:space="preserve"> Z. Pancevo </t>
  </si>
  <si>
    <t xml:space="preserve"> Rimini </t>
  </si>
  <si>
    <t>-</t>
  </si>
  <si>
    <t xml:space="preserve"> A. Bucaramanga </t>
  </si>
  <si>
    <t xml:space="preserve"> A. Nacional </t>
  </si>
  <si>
    <t xml:space="preserve"> A. Petrolera </t>
  </si>
  <si>
    <t xml:space="preserve"> America de Cali </t>
  </si>
  <si>
    <t xml:space="preserve"> Boyaca Chico </t>
  </si>
  <si>
    <t xml:space="preserve"> Cucuta </t>
  </si>
  <si>
    <t xml:space="preserve"> D. Pereira </t>
  </si>
  <si>
    <t xml:space="preserve"> Deportes Tolima </t>
  </si>
  <si>
    <t xml:space="preserve"> Deportivo Cali </t>
  </si>
  <si>
    <t xml:space="preserve"> Deportivo Pasto </t>
  </si>
  <si>
    <t xml:space="preserve"> Fortaleza CEIF </t>
  </si>
  <si>
    <t xml:space="preserve"> I. Medelin </t>
  </si>
  <si>
    <t xml:space="preserve"> Jaguares de C. </t>
  </si>
  <si>
    <t xml:space="preserve"> Junior </t>
  </si>
  <si>
    <t xml:space="preserve"> La Equidad </t>
  </si>
  <si>
    <t xml:space="preserve"> Llaneros </t>
  </si>
  <si>
    <t xml:space="preserve"> Millonarios </t>
  </si>
  <si>
    <t xml:space="preserve"> Once Caldas </t>
  </si>
  <si>
    <t xml:space="preserve"> R. Aguilas </t>
  </si>
  <si>
    <t xml:space="preserve"> Santa Fe </t>
  </si>
  <si>
    <t xml:space="preserve"> Envigado </t>
  </si>
  <si>
    <t xml:space="preserve"> Patriotas </t>
  </si>
  <si>
    <t xml:space="preserve">Ajman </t>
  </si>
  <si>
    <t xml:space="preserve">Bijelo Brdo </t>
  </si>
  <si>
    <t xml:space="preserve"> C. Zmijavci </t>
  </si>
  <si>
    <t xml:space="preserve"> Cibalia </t>
  </si>
  <si>
    <t xml:space="preserve"> Dubrava Zagreb </t>
  </si>
  <si>
    <t xml:space="preserve"> Dugopolje </t>
  </si>
  <si>
    <t xml:space="preserve"> Hrvace </t>
  </si>
  <si>
    <t xml:space="preserve"> Jarun </t>
  </si>
  <si>
    <t xml:space="preserve"> Karlovac </t>
  </si>
  <si>
    <t xml:space="preserve"> Opatija </t>
  </si>
  <si>
    <t xml:space="preserve"> Orijent </t>
  </si>
  <si>
    <t xml:space="preserve"> Rudes </t>
  </si>
  <si>
    <t xml:space="preserve"> Sesvete </t>
  </si>
  <si>
    <t xml:space="preserve"> Bala Town </t>
  </si>
  <si>
    <t xml:space="preserve"> Barry </t>
  </si>
  <si>
    <t xml:space="preserve"> Briton Ferry </t>
  </si>
  <si>
    <t xml:space="preserve"> Caernarfon </t>
  </si>
  <si>
    <t xml:space="preserve"> Cardiff MU </t>
  </si>
  <si>
    <t xml:space="preserve"> Colwyn Bay </t>
  </si>
  <si>
    <t xml:space="preserve"> Connahs Quay </t>
  </si>
  <si>
    <t xml:space="preserve"> Flint </t>
  </si>
  <si>
    <t xml:space="preserve"> Haverfordwest </t>
  </si>
  <si>
    <t xml:space="preserve"> Llanelli Town </t>
  </si>
  <si>
    <t xml:space="preserve"> Penybont </t>
  </si>
  <si>
    <t xml:space="preserve"> The New Saints </t>
  </si>
  <si>
    <t xml:space="preserve">Amiens </t>
  </si>
  <si>
    <t xml:space="preserve"> A. Niigata W </t>
  </si>
  <si>
    <t xml:space="preserve"> Beleza W </t>
  </si>
  <si>
    <t xml:space="preserve"> Cerezo Osaka W </t>
  </si>
  <si>
    <t xml:space="preserve"> Elfen Saitama W </t>
  </si>
  <si>
    <t xml:space="preserve"> INAC Kobe L. W </t>
  </si>
  <si>
    <t xml:space="preserve"> JEF United W </t>
  </si>
  <si>
    <t xml:space="preserve"> Nojima Stella W </t>
  </si>
  <si>
    <t xml:space="preserve"> Omiya Ardija W </t>
  </si>
  <si>
    <t xml:space="preserve"> P. Nagano W </t>
  </si>
  <si>
    <t xml:space="preserve"> S. Hiroshima W </t>
  </si>
  <si>
    <t xml:space="preserve"> Urawa RD W </t>
  </si>
  <si>
    <t xml:space="preserve"> V. Sendai W </t>
  </si>
  <si>
    <t xml:space="preserve"> Albirex Niigata </t>
  </si>
  <si>
    <t xml:space="preserve"> Avispa Fukuoka </t>
  </si>
  <si>
    <t xml:space="preserve"> Cerezo Osaka </t>
  </si>
  <si>
    <t xml:space="preserve"> Fagiano Okayama </t>
  </si>
  <si>
    <t xml:space="preserve"> FC Tokyo </t>
  </si>
  <si>
    <t xml:space="preserve"> Gamba Osaka </t>
  </si>
  <si>
    <t xml:space="preserve"> K. Frontale </t>
  </si>
  <si>
    <t xml:space="preserve"> Kashima Antlers </t>
  </si>
  <si>
    <t xml:space="preserve"> Kashiwa Reysol </t>
  </si>
  <si>
    <t xml:space="preserve"> Kyoto Sanga </t>
  </si>
  <si>
    <t xml:space="preserve"> Machida Zelvia </t>
  </si>
  <si>
    <t xml:space="preserve"> Nagoya G. </t>
  </si>
  <si>
    <t xml:space="preserve"> S. Hiroshima </t>
  </si>
  <si>
    <t xml:space="preserve"> Shimizu S-Pulse </t>
  </si>
  <si>
    <t xml:space="preserve"> Shonan Bellmare </t>
  </si>
  <si>
    <t xml:space="preserve"> Tokyo Verdy </t>
  </si>
  <si>
    <t xml:space="preserve"> Urawa RD </t>
  </si>
  <si>
    <t xml:space="preserve"> Vissel Kobe </t>
  </si>
  <si>
    <t xml:space="preserve"> Yokohama FC </t>
  </si>
  <si>
    <t xml:space="preserve"> Yokohama M. </t>
  </si>
  <si>
    <t xml:space="preserve">A. Demirspor </t>
  </si>
  <si>
    <t xml:space="preserve"> Borac 1926 </t>
  </si>
  <si>
    <t xml:space="preserve"> Dinamo Jug </t>
  </si>
  <si>
    <t xml:space="preserve"> Dubocica </t>
  </si>
  <si>
    <t xml:space="preserve"> FAP Priboj </t>
  </si>
  <si>
    <t xml:space="preserve"> Graficar </t>
  </si>
  <si>
    <t xml:space="preserve"> Jedinstvo U. </t>
  </si>
  <si>
    <t xml:space="preserve"> Kabel Novi Sad </t>
  </si>
  <si>
    <t xml:space="preserve"> Loznica </t>
  </si>
  <si>
    <t xml:space="preserve"> Macva Sabac </t>
  </si>
  <si>
    <t xml:space="preserve"> Smederevo </t>
  </si>
  <si>
    <t xml:space="preserve"> T. Odzaci </t>
  </si>
  <si>
    <t xml:space="preserve"> Trajal Krusevac </t>
  </si>
  <si>
    <t xml:space="preserve"> Usce Novi B. </t>
  </si>
  <si>
    <t xml:space="preserve"> Vozdovac </t>
  </si>
  <si>
    <t xml:space="preserve"> Vrsac </t>
  </si>
  <si>
    <t xml:space="preserve"> Zemun </t>
  </si>
  <si>
    <t xml:space="preserve">Backa Topola </t>
  </si>
  <si>
    <t xml:space="preserve"> Aberdeen </t>
  </si>
  <si>
    <t xml:space="preserve">Airdrieonians </t>
  </si>
  <si>
    <t xml:space="preserve"> Arbroath </t>
  </si>
  <si>
    <t xml:space="preserve"> Ayr Utd </t>
  </si>
  <si>
    <t xml:space="preserve"> Dunfermline </t>
  </si>
  <si>
    <t xml:space="preserve"> Greenock Morton </t>
  </si>
  <si>
    <t xml:space="preserve"> Partick Thistle </t>
  </si>
  <si>
    <t xml:space="preserve"> Queens Park </t>
  </si>
  <si>
    <t xml:space="preserve"> Raith Rovers </t>
  </si>
  <si>
    <t xml:space="preserve"> Ross County </t>
  </si>
  <si>
    <t xml:space="preserve"> St. Johnstone </t>
  </si>
  <si>
    <t xml:space="preserve">Alloa Athletic </t>
  </si>
  <si>
    <t xml:space="preserve"> Cove Rangers </t>
  </si>
  <si>
    <t xml:space="preserve"> East Fife </t>
  </si>
  <si>
    <t xml:space="preserve"> Hamilton </t>
  </si>
  <si>
    <t xml:space="preserve"> Inverness </t>
  </si>
  <si>
    <t xml:space="preserve"> Kelty Hearts </t>
  </si>
  <si>
    <t xml:space="preserve"> Montrose </t>
  </si>
  <si>
    <t xml:space="preserve"> Peterhead </t>
  </si>
  <si>
    <t xml:space="preserve"> Queen of South </t>
  </si>
  <si>
    <t xml:space="preserve"> Stenhousemuir </t>
  </si>
  <si>
    <t xml:space="preserve"> Annan Athletic </t>
  </si>
  <si>
    <t xml:space="preserve"> Clyde </t>
  </si>
  <si>
    <t xml:space="preserve"> Dumbarton </t>
  </si>
  <si>
    <t xml:space="preserve"> East Kilbride </t>
  </si>
  <si>
    <t xml:space="preserve"> Edinburgh City </t>
  </si>
  <si>
    <t xml:space="preserve"> Elgin City </t>
  </si>
  <si>
    <t xml:space="preserve"> Forfar Athletic </t>
  </si>
  <si>
    <t xml:space="preserve"> Spartans </t>
  </si>
  <si>
    <t xml:space="preserve"> Stirling Albion </t>
  </si>
  <si>
    <t xml:space="preserve"> Stranraer </t>
  </si>
  <si>
    <t xml:space="preserve"> Arda </t>
  </si>
  <si>
    <t xml:space="preserve"> Beroe </t>
  </si>
  <si>
    <t xml:space="preserve"> Botev Plovdiv </t>
  </si>
  <si>
    <t xml:space="preserve"> Botev Vratsa </t>
  </si>
  <si>
    <t xml:space="preserve"> Cherno More </t>
  </si>
  <si>
    <t xml:space="preserve"> CSKA 1948 Sofia </t>
  </si>
  <si>
    <t xml:space="preserve"> CSKA Sofia </t>
  </si>
  <si>
    <t xml:space="preserve"> Dobrudzha </t>
  </si>
  <si>
    <t xml:space="preserve"> Levski Sofia </t>
  </si>
  <si>
    <t xml:space="preserve"> Lok. Plovdiv </t>
  </si>
  <si>
    <t xml:space="preserve"> Lokomotiv Sofia </t>
  </si>
  <si>
    <t xml:space="preserve"> Ludogorets </t>
  </si>
  <si>
    <t xml:space="preserve"> Montana </t>
  </si>
  <si>
    <t xml:space="preserve"> Septemvri Sofia </t>
  </si>
  <si>
    <t xml:space="preserve"> Slavia Sofia </t>
  </si>
  <si>
    <t xml:space="preserve"> Spartak Varna </t>
  </si>
  <si>
    <t xml:space="preserve"> Baku Sporting </t>
  </si>
  <si>
    <t xml:space="preserve"> Cebrayil </t>
  </si>
  <si>
    <t xml:space="preserve"> Difai Agsu </t>
  </si>
  <si>
    <t xml:space="preserve"> Mingachevir </t>
  </si>
  <si>
    <t xml:space="preserve"> MOIK </t>
  </si>
  <si>
    <t xml:space="preserve"> Safa </t>
  </si>
  <si>
    <t xml:space="preserve"> Sahdag </t>
  </si>
  <si>
    <t xml:space="preserve"> Sebail </t>
  </si>
  <si>
    <t xml:space="preserve"> Simal </t>
  </si>
  <si>
    <t xml:space="preserve"> Zaqatala </t>
  </si>
  <si>
    <t xml:space="preserve"> AmaZulu </t>
  </si>
  <si>
    <t xml:space="preserve"> Chippa Utd </t>
  </si>
  <si>
    <t xml:space="preserve"> Durban City </t>
  </si>
  <si>
    <t xml:space="preserve"> Golden Arrows </t>
  </si>
  <si>
    <t xml:space="preserve"> Kaizer Chiefs </t>
  </si>
  <si>
    <t xml:space="preserve"> Magesi </t>
  </si>
  <si>
    <t xml:space="preserve"> Mamelodi S. </t>
  </si>
  <si>
    <t xml:space="preserve"> Marumo G. </t>
  </si>
  <si>
    <t xml:space="preserve"> Orbit College </t>
  </si>
  <si>
    <t xml:space="preserve"> Orlando Pirates </t>
  </si>
  <si>
    <t xml:space="preserve"> Polokwane </t>
  </si>
  <si>
    <t xml:space="preserve"> Richards Bay </t>
  </si>
  <si>
    <t xml:space="preserve"> Sekhukhune </t>
  </si>
  <si>
    <t xml:space="preserve"> Siwelele </t>
  </si>
  <si>
    <t xml:space="preserve"> Stellenbosch </t>
  </si>
  <si>
    <t xml:space="preserve"> TS Galaxy </t>
  </si>
  <si>
    <t xml:space="preserve"> Agua Santa </t>
  </si>
  <si>
    <t xml:space="preserve"> CA Linense </t>
  </si>
  <si>
    <t xml:space="preserve"> Ferroviaria </t>
  </si>
  <si>
    <t xml:space="preserve"> Gremio Prudente </t>
  </si>
  <si>
    <t xml:space="preserve"> Inter Limeira </t>
  </si>
  <si>
    <t xml:space="preserve"> Ituano </t>
  </si>
  <si>
    <t xml:space="preserve"> Monte Azul </t>
  </si>
  <si>
    <t xml:space="preserve"> Osasco </t>
  </si>
  <si>
    <t xml:space="preserve"> Santo Andre </t>
  </si>
  <si>
    <t xml:space="preserve"> Sao Bento </t>
  </si>
  <si>
    <t xml:space="preserve"> Sao Jose EC </t>
  </si>
  <si>
    <t xml:space="preserve"> Sertaozinho </t>
  </si>
  <si>
    <t xml:space="preserve"> Taubate </t>
  </si>
  <si>
    <t xml:space="preserve"> Votuporanguense </t>
  </si>
  <si>
    <t xml:space="preserve"> XV Piracicaba </t>
  </si>
  <si>
    <t xml:space="preserve"> Aurora </t>
  </si>
  <si>
    <t xml:space="preserve"> Mictlan </t>
  </si>
  <si>
    <t xml:space="preserve"> Afumati </t>
  </si>
  <si>
    <t xml:space="preserve"> ASA Targu Mures </t>
  </si>
  <si>
    <t xml:space="preserve"> Bihor </t>
  </si>
  <si>
    <t xml:space="preserve"> C. Targoviste </t>
  </si>
  <si>
    <t xml:space="preserve"> Campulung </t>
  </si>
  <si>
    <t xml:space="preserve"> Ceahlaul </t>
  </si>
  <si>
    <t xml:space="preserve"> Concordia </t>
  </si>
  <si>
    <t xml:space="preserve"> Cornivul H. </t>
  </si>
  <si>
    <t xml:space="preserve"> CS Dinamo B. </t>
  </si>
  <si>
    <t xml:space="preserve"> CSM Resita </t>
  </si>
  <si>
    <t xml:space="preserve"> CSM Satu Mare </t>
  </si>
  <si>
    <t xml:space="preserve"> Dumbravita </t>
  </si>
  <si>
    <t xml:space="preserve"> FC Bacau </t>
  </si>
  <si>
    <t xml:space="preserve"> Gloria Bistrita </t>
  </si>
  <si>
    <t xml:space="preserve"> Metalul Buzau </t>
  </si>
  <si>
    <t xml:space="preserve"> P. Iasi </t>
  </si>
  <si>
    <t xml:space="preserve"> Sepsi OSK </t>
  </si>
  <si>
    <t xml:space="preserve"> Slatina </t>
  </si>
  <si>
    <t xml:space="preserve"> Steaua B. </t>
  </si>
  <si>
    <t xml:space="preserve"> Tunari </t>
  </si>
  <si>
    <t xml:space="preserve"> V. Selimbar </t>
  </si>
  <si>
    <t xml:space="preserve"> Voluntari </t>
  </si>
  <si>
    <t xml:space="preserve">A. Contractors </t>
  </si>
  <si>
    <t xml:space="preserve"> Cherkasy U19 </t>
  </si>
  <si>
    <t xml:space="preserve"> Dynamo Kyiv U19 </t>
  </si>
  <si>
    <t xml:space="preserve"> Epitsentr U19 </t>
  </si>
  <si>
    <t xml:space="preserve"> Karpaty U19 </t>
  </si>
  <si>
    <t xml:space="preserve"> Kolos U19 </t>
  </si>
  <si>
    <t xml:space="preserve"> Kryvbas KR U19 </t>
  </si>
  <si>
    <t xml:space="preserve"> Kudrivka U19 </t>
  </si>
  <si>
    <t xml:space="preserve"> Metalist U19 </t>
  </si>
  <si>
    <t xml:space="preserve"> Obolon Kyiv U19 </t>
  </si>
  <si>
    <t xml:space="preserve"> Oleksandria U19 </t>
  </si>
  <si>
    <t xml:space="preserve"> Polissya U19 </t>
  </si>
  <si>
    <t xml:space="preserve"> Rukh U19 </t>
  </si>
  <si>
    <t xml:space="preserve"> Shakhtar U19 </t>
  </si>
  <si>
    <t xml:space="preserve"> SK Poltava U19 </t>
  </si>
  <si>
    <t xml:space="preserve"> Veres Rivne U19 </t>
  </si>
  <si>
    <t xml:space="preserve"> Zorya U19 </t>
  </si>
  <si>
    <t xml:space="preserve">Adelaide Utd W </t>
  </si>
  <si>
    <t xml:space="preserve">A. Niigata (S) </t>
  </si>
  <si>
    <t xml:space="preserve"> Geylang </t>
  </si>
  <si>
    <t xml:space="preserve"> Hougang </t>
  </si>
  <si>
    <t xml:space="preserve"> Khalsa </t>
  </si>
  <si>
    <t xml:space="preserve"> Lion City </t>
  </si>
  <si>
    <t xml:space="preserve"> Tampines Rovers </t>
  </si>
  <si>
    <t xml:space="preserve"> Tanjong Pagar </t>
  </si>
  <si>
    <t xml:space="preserve"> Young Lions </t>
  </si>
  <si>
    <t xml:space="preserve"> Bijelo Brdo </t>
  </si>
  <si>
    <t xml:space="preserve"> A. Klagenfurt </t>
  </si>
  <si>
    <t xml:space="preserve"> A. Lustenau </t>
  </si>
  <si>
    <t xml:space="preserve"> A. Salzburg </t>
  </si>
  <si>
    <t xml:space="preserve"> Admira Wacker </t>
  </si>
  <si>
    <t xml:space="preserve"> Amstetten </t>
  </si>
  <si>
    <t xml:space="preserve"> Austria Wien B </t>
  </si>
  <si>
    <t xml:space="preserve"> Bregenz </t>
  </si>
  <si>
    <t xml:space="preserve"> First Vienna </t>
  </si>
  <si>
    <t xml:space="preserve"> Floridsdorfer </t>
  </si>
  <si>
    <t xml:space="preserve"> Kapfenberger </t>
  </si>
  <si>
    <t xml:space="preserve"> Liefering </t>
  </si>
  <si>
    <t xml:space="preserve"> Rapid Wien B </t>
  </si>
  <si>
    <t xml:space="preserve"> St. Polten </t>
  </si>
  <si>
    <t xml:space="preserve"> Stripfing </t>
  </si>
  <si>
    <t xml:space="preserve"> Sturm Graz B </t>
  </si>
  <si>
    <t xml:space="preserve"> WSPG Wels </t>
  </si>
  <si>
    <t xml:space="preserve"> Arka Gdynia </t>
  </si>
  <si>
    <t xml:space="preserve"> Cracovia Krakow </t>
  </si>
  <si>
    <t xml:space="preserve"> Gornik Zabrze </t>
  </si>
  <si>
    <t xml:space="preserve"> Jagiellonia </t>
  </si>
  <si>
    <t xml:space="preserve"> Katowice </t>
  </si>
  <si>
    <t xml:space="preserve"> Korona Kielce </t>
  </si>
  <si>
    <t xml:space="preserve"> Lech Poznan </t>
  </si>
  <si>
    <t xml:space="preserve"> Lechia Gdansk </t>
  </si>
  <si>
    <t xml:space="preserve"> Legia Warsaw </t>
  </si>
  <si>
    <t xml:space="preserve"> Motor Lublin </t>
  </si>
  <si>
    <t xml:space="preserve"> Piast Gliwice </t>
  </si>
  <si>
    <t xml:space="preserve"> Pogon Szczecin </t>
  </si>
  <si>
    <t xml:space="preserve"> Radomiak Radom </t>
  </si>
  <si>
    <t xml:space="preserve"> Rakow C. </t>
  </si>
  <si>
    <t xml:space="preserve"> Termalica </t>
  </si>
  <si>
    <t xml:space="preserve"> Widzew Lodz </t>
  </si>
  <si>
    <t xml:space="preserve"> Wisla Plock </t>
  </si>
  <si>
    <t xml:space="preserve"> Zaglebie Lubin </t>
  </si>
  <si>
    <t xml:space="preserve">Adelaide Utd </t>
  </si>
  <si>
    <t xml:space="preserve">Amasyaspor </t>
  </si>
  <si>
    <t xml:space="preserve">Belasitsa </t>
  </si>
  <si>
    <t xml:space="preserve"> C. 1919 </t>
  </si>
  <si>
    <t xml:space="preserve"> CSKA Sofia B </t>
  </si>
  <si>
    <t xml:space="preserve"> Dunav </t>
  </si>
  <si>
    <t xml:space="preserve"> Etar </t>
  </si>
  <si>
    <t xml:space="preserve"> Fratria </t>
  </si>
  <si>
    <t xml:space="preserve"> Hebar </t>
  </si>
  <si>
    <t xml:space="preserve"> Lokomotiv Gorna </t>
  </si>
  <si>
    <t xml:space="preserve"> Ludogorets B </t>
  </si>
  <si>
    <t xml:space="preserve"> Marek </t>
  </si>
  <si>
    <t xml:space="preserve"> Minyor Pernik </t>
  </si>
  <si>
    <t xml:space="preserve"> Pirin B. </t>
  </si>
  <si>
    <t xml:space="preserve"> Sevlievo </t>
  </si>
  <si>
    <t xml:space="preserve"> Spartak Pleven </t>
  </si>
  <si>
    <t xml:space="preserve"> Sportist Svoge </t>
  </si>
  <si>
    <t xml:space="preserve"> Vihren </t>
  </si>
  <si>
    <t xml:space="preserve"> Yantra </t>
  </si>
  <si>
    <t xml:space="preserve">Birmingham City </t>
  </si>
  <si>
    <t xml:space="preserve">AFC Fylde </t>
  </si>
  <si>
    <t xml:space="preserve"> E. Rio Cuarto </t>
  </si>
  <si>
    <t xml:space="preserve"> G. Mendoza </t>
  </si>
  <si>
    <t xml:space="preserve"> Aluminium Arak </t>
  </si>
  <si>
    <t xml:space="preserve">Deutschlandsber </t>
  </si>
  <si>
    <t xml:space="preserve"> Gleisdorf </t>
  </si>
  <si>
    <t xml:space="preserve"> Kalsdorf </t>
  </si>
  <si>
    <t xml:space="preserve"> Lafnitz </t>
  </si>
  <si>
    <t xml:space="preserve"> LASK Amateure </t>
  </si>
  <si>
    <t xml:space="preserve"> Oedt </t>
  </si>
  <si>
    <t xml:space="preserve"> Ried B </t>
  </si>
  <si>
    <t xml:space="preserve"> St. Anna </t>
  </si>
  <si>
    <t xml:space="preserve"> Treibach </t>
  </si>
  <si>
    <t xml:space="preserve"> Union Gurten </t>
  </si>
  <si>
    <t xml:space="preserve"> Velden </t>
  </si>
  <si>
    <t xml:space="preserve"> Voitsberg </t>
  </si>
  <si>
    <t xml:space="preserve"> Wallern </t>
  </si>
  <si>
    <t xml:space="preserve"> Weiz </t>
  </si>
  <si>
    <t xml:space="preserve"> Wohnbau Dietach </t>
  </si>
  <si>
    <t xml:space="preserve"> Wolfsberger B </t>
  </si>
  <si>
    <t xml:space="preserve">Albacete </t>
  </si>
  <si>
    <t xml:space="preserve"> BSC Young Boys </t>
  </si>
  <si>
    <t xml:space="preserve"> FC Basel </t>
  </si>
  <si>
    <t xml:space="preserve"> FC Zurich </t>
  </si>
  <si>
    <t xml:space="preserve"> Grasshopper </t>
  </si>
  <si>
    <t xml:space="preserve"> Lausanne Sport </t>
  </si>
  <si>
    <t xml:space="preserve"> Lugano </t>
  </si>
  <si>
    <t xml:space="preserve"> Luzern </t>
  </si>
  <si>
    <t xml:space="preserve"> Servette </t>
  </si>
  <si>
    <t xml:space="preserve"> Sion </t>
  </si>
  <si>
    <t xml:space="preserve"> St. Gallen </t>
  </si>
  <si>
    <t xml:space="preserve"> Thun </t>
  </si>
  <si>
    <t xml:space="preserve"> Winterthur </t>
  </si>
  <si>
    <t xml:space="preserve"> Aarau </t>
  </si>
  <si>
    <t xml:space="preserve"> Bellinzona </t>
  </si>
  <si>
    <t xml:space="preserve"> Etoile Carouge </t>
  </si>
  <si>
    <t xml:space="preserve"> Lausanne Ouchy </t>
  </si>
  <si>
    <t xml:space="preserve"> Neuchatel Xamax </t>
  </si>
  <si>
    <t xml:space="preserve"> Rapperswil </t>
  </si>
  <si>
    <t xml:space="preserve"> Stade Nyonnais </t>
  </si>
  <si>
    <t xml:space="preserve"> Vaduz </t>
  </si>
  <si>
    <t xml:space="preserve"> Wil </t>
  </si>
  <si>
    <t xml:space="preserve"> Yverdon </t>
  </si>
  <si>
    <t xml:space="preserve"> AC Raiders </t>
  </si>
  <si>
    <t xml:space="preserve"> Adelaide City </t>
  </si>
  <si>
    <t xml:space="preserve"> Adelaide Comets </t>
  </si>
  <si>
    <t xml:space="preserve"> Adelaide Utd B </t>
  </si>
  <si>
    <t xml:space="preserve"> Campbelltown </t>
  </si>
  <si>
    <t xml:space="preserve"> Croydon Kings </t>
  </si>
  <si>
    <t xml:space="preserve"> FK Beograd </t>
  </si>
  <si>
    <t xml:space="preserve"> Modbury Jets </t>
  </si>
  <si>
    <t xml:space="preserve"> NE MetroStars </t>
  </si>
  <si>
    <t xml:space="preserve"> Para Hills </t>
  </si>
  <si>
    <t xml:space="preserve"> Playford P. </t>
  </si>
  <si>
    <t xml:space="preserve"> West Torrens </t>
  </si>
  <si>
    <t xml:space="preserve"> Abahani </t>
  </si>
  <si>
    <t xml:space="preserve"> Arambagh </t>
  </si>
  <si>
    <t xml:space="preserve"> B. Police </t>
  </si>
  <si>
    <t xml:space="preserve"> Bashundhara K. </t>
  </si>
  <si>
    <t xml:space="preserve"> Brothers Union </t>
  </si>
  <si>
    <t xml:space="preserve"> Fakirerpool </t>
  </si>
  <si>
    <t xml:space="preserve"> Fortis </t>
  </si>
  <si>
    <t xml:space="preserve"> Mohammedan </t>
  </si>
  <si>
    <t xml:space="preserve"> PWD Sports Club </t>
  </si>
  <si>
    <t xml:space="preserve"> Rahmatgonj </t>
  </si>
  <si>
    <t xml:space="preserve">Artis Brno </t>
  </si>
  <si>
    <t xml:space="preserve"> Banik Ostrava B </t>
  </si>
  <si>
    <t xml:space="preserve"> C. Budejovice </t>
  </si>
  <si>
    <t xml:space="preserve"> Chrudim </t>
  </si>
  <si>
    <t xml:space="preserve"> Han. Kromeriz </t>
  </si>
  <si>
    <t xml:space="preserve"> Jihlava </t>
  </si>
  <si>
    <t xml:space="preserve"> Opava </t>
  </si>
  <si>
    <t xml:space="preserve"> Pribram </t>
  </si>
  <si>
    <t xml:space="preserve"> Prostejov </t>
  </si>
  <si>
    <t xml:space="preserve"> Slavia Prague B </t>
  </si>
  <si>
    <t xml:space="preserve"> Sparta Prague B </t>
  </si>
  <si>
    <t xml:space="preserve"> Taborsko </t>
  </si>
  <si>
    <t xml:space="preserve"> Usti nad Labem </t>
  </si>
  <si>
    <t xml:space="preserve"> Vikto Zizkov </t>
  </si>
  <si>
    <t xml:space="preserve"> Vlasim </t>
  </si>
  <si>
    <t xml:space="preserve"> Zbrojovka Brno </t>
  </si>
  <si>
    <t xml:space="preserve"> Aalborg BK </t>
  </si>
  <si>
    <t xml:space="preserve"> Aarhus Fremad </t>
  </si>
  <si>
    <t xml:space="preserve"> AC Horsens </t>
  </si>
  <si>
    <t xml:space="preserve"> B 93 </t>
  </si>
  <si>
    <t xml:space="preserve"> Esbjerg </t>
  </si>
  <si>
    <t xml:space="preserve"> HB Koge </t>
  </si>
  <si>
    <t xml:space="preserve"> Hillerod </t>
  </si>
  <si>
    <t xml:space="preserve"> Hobro </t>
  </si>
  <si>
    <t xml:space="preserve"> Hvidovre </t>
  </si>
  <si>
    <t xml:space="preserve"> Kolding IF </t>
  </si>
  <si>
    <t xml:space="preserve"> Lyngby </t>
  </si>
  <si>
    <t xml:space="preserve"> Middelfart </t>
  </si>
  <si>
    <t xml:space="preserve"> Chrobry Glogow </t>
  </si>
  <si>
    <t xml:space="preserve"> Gornik Leczna </t>
  </si>
  <si>
    <t xml:space="preserve"> LKS Lodz </t>
  </si>
  <si>
    <t xml:space="preserve"> Miedz Legnica </t>
  </si>
  <si>
    <t xml:space="preserve"> Odra Opole </t>
  </si>
  <si>
    <t xml:space="preserve"> Pogon Grodzisk  </t>
  </si>
  <si>
    <t xml:space="preserve"> Pogon Siedlce </t>
  </si>
  <si>
    <t xml:space="preserve"> Polonia Bytom </t>
  </si>
  <si>
    <t xml:space="preserve"> Polonia Warszaw </t>
  </si>
  <si>
    <t xml:space="preserve"> Puszcza Niepolo </t>
  </si>
  <si>
    <t xml:space="preserve"> Ruch Chorzow </t>
  </si>
  <si>
    <t xml:space="preserve"> Slask Wroclaw </t>
  </si>
  <si>
    <t xml:space="preserve"> Stal Mielec </t>
  </si>
  <si>
    <t xml:space="preserve"> Stal Rzeszow </t>
  </si>
  <si>
    <t xml:space="preserve"> Tychy </t>
  </si>
  <si>
    <t xml:space="preserve"> Wieczysta K. </t>
  </si>
  <si>
    <t xml:space="preserve"> Wisla Krakow </t>
  </si>
  <si>
    <t xml:space="preserve"> Znicz Pruszkow </t>
  </si>
  <si>
    <t xml:space="preserve">Ayutthaya Utd </t>
  </si>
  <si>
    <t xml:space="preserve">Ajax Amsterdam </t>
  </si>
  <si>
    <t xml:space="preserve"> Belasitsa </t>
  </si>
  <si>
    <t>https://www.facebook.com/share/v/1XA3HzNtnU/</t>
  </si>
  <si>
    <t xml:space="preserve"> Arsenal Tula </t>
  </si>
  <si>
    <t xml:space="preserve"> Chayka </t>
  </si>
  <si>
    <t xml:space="preserve"> Chelyabinsk </t>
  </si>
  <si>
    <t xml:space="preserve"> Chernomorets </t>
  </si>
  <si>
    <t xml:space="preserve"> Fakel Voronezh </t>
  </si>
  <si>
    <t xml:space="preserve"> Kamaz </t>
  </si>
  <si>
    <t xml:space="preserve"> Neftekhimik </t>
  </si>
  <si>
    <t xml:space="preserve"> Rodina Moskva </t>
  </si>
  <si>
    <t xml:space="preserve"> Rotor Volgograd </t>
  </si>
  <si>
    <t xml:space="preserve"> Shinnik </t>
  </si>
  <si>
    <t xml:space="preserve"> SKA Khabarovsk </t>
  </si>
  <si>
    <t xml:space="preserve"> Sokol Saratov </t>
  </si>
  <si>
    <t xml:space="preserve"> Spartak Kostrom </t>
  </si>
  <si>
    <t xml:space="preserve"> Torpedo Moscow </t>
  </si>
  <si>
    <t xml:space="preserve"> Ufa </t>
  </si>
  <si>
    <t xml:space="preserve"> Ural </t>
  </si>
  <si>
    <t xml:space="preserve"> Volga Ulyanovsk </t>
  </si>
  <si>
    <t xml:space="preserve"> Yenisey </t>
  </si>
  <si>
    <t xml:space="preserve">Chojniczanka </t>
  </si>
  <si>
    <t xml:space="preserve"> Hutnik Krakow </t>
  </si>
  <si>
    <t xml:space="preserve"> Jastrzebie </t>
  </si>
  <si>
    <t xml:space="preserve"> Kalisz </t>
  </si>
  <si>
    <t xml:space="preserve"> LKS Lodz B </t>
  </si>
  <si>
    <t xml:space="preserve"> NKP Podhale </t>
  </si>
  <si>
    <t xml:space="preserve"> O. Grudziadz </t>
  </si>
  <si>
    <t xml:space="preserve"> Podbeskidzie </t>
  </si>
  <si>
    <t xml:space="preserve"> Rekord Bielsko </t>
  </si>
  <si>
    <t xml:space="preserve"> Resovia Rzeszow </t>
  </si>
  <si>
    <t xml:space="preserve"> Sandecja Nowy </t>
  </si>
  <si>
    <t xml:space="preserve"> Slask Wroclaw B </t>
  </si>
  <si>
    <t xml:space="preserve"> Sokol Kleczew </t>
  </si>
  <si>
    <t xml:space="preserve"> Stalowa Wola </t>
  </si>
  <si>
    <t xml:space="preserve"> Swit Skolwin </t>
  </si>
  <si>
    <t xml:space="preserve"> Unia Skierniewi </t>
  </si>
  <si>
    <t xml:space="preserve"> Warta Poznan </t>
  </si>
  <si>
    <t xml:space="preserve"> Z. Sosnowiec </t>
  </si>
  <si>
    <t xml:space="preserve"> Chojniczanka </t>
  </si>
  <si>
    <t xml:space="preserve"> Avellino </t>
  </si>
  <si>
    <t xml:space="preserve"> Dynamo Kyiv </t>
  </si>
  <si>
    <t xml:space="preserve"> Episentr </t>
  </si>
  <si>
    <t xml:space="preserve"> Karpaty Lviv </t>
  </si>
  <si>
    <t xml:space="preserve"> Kolos Kovalivka </t>
  </si>
  <si>
    <t xml:space="preserve"> Kryvbas KR </t>
  </si>
  <si>
    <t xml:space="preserve"> Kudrivka </t>
  </si>
  <si>
    <t xml:space="preserve"> LNZ Cherkasy </t>
  </si>
  <si>
    <t xml:space="preserve"> Metalist 1925 </t>
  </si>
  <si>
    <t xml:space="preserve"> Obolon </t>
  </si>
  <si>
    <t xml:space="preserve"> Oleksandria </t>
  </si>
  <si>
    <t xml:space="preserve"> Polessya </t>
  </si>
  <si>
    <t xml:space="preserve"> Rukh Lviv </t>
  </si>
  <si>
    <t xml:space="preserve"> Shakhtar </t>
  </si>
  <si>
    <t xml:space="preserve"> SK Poltava </t>
  </si>
  <si>
    <t xml:space="preserve"> Veres </t>
  </si>
  <si>
    <t xml:space="preserve"> Zorya Luhansk </t>
  </si>
  <si>
    <t xml:space="preserve">A. Bucaramanga </t>
  </si>
  <si>
    <t xml:space="preserve"> Athletico PR </t>
  </si>
  <si>
    <t xml:space="preserve"> Atletico MG </t>
  </si>
  <si>
    <t xml:space="preserve"> Bahia </t>
  </si>
  <si>
    <t xml:space="preserve"> Botafogo </t>
  </si>
  <si>
    <t xml:space="preserve"> Bragantino </t>
  </si>
  <si>
    <t xml:space="preserve"> Chapecoense </t>
  </si>
  <si>
    <t xml:space="preserve"> Corinthians </t>
  </si>
  <si>
    <t xml:space="preserve"> Coritiba </t>
  </si>
  <si>
    <t xml:space="preserve"> Cruzeiro </t>
  </si>
  <si>
    <t xml:space="preserve"> Flamengo </t>
  </si>
  <si>
    <t xml:space="preserve"> Fluminense </t>
  </si>
  <si>
    <t xml:space="preserve"> Gremio </t>
  </si>
  <si>
    <t xml:space="preserve"> Internacional </t>
  </si>
  <si>
    <t xml:space="preserve"> Mirassol </t>
  </si>
  <si>
    <t xml:space="preserve"> Palmeiras </t>
  </si>
  <si>
    <t xml:space="preserve"> Remo </t>
  </si>
  <si>
    <t xml:space="preserve"> Santos </t>
  </si>
  <si>
    <t xml:space="preserve"> Sao Paulo </t>
  </si>
  <si>
    <t xml:space="preserve"> Vasco da Gama </t>
  </si>
  <si>
    <t xml:space="preserve"> Vitoria </t>
  </si>
  <si>
    <t xml:space="preserve"> Altona Magic </t>
  </si>
  <si>
    <t xml:space="preserve"> Avondale </t>
  </si>
  <si>
    <t xml:space="preserve"> Bentleigh G. </t>
  </si>
  <si>
    <t xml:space="preserve"> Dandenong City </t>
  </si>
  <si>
    <t xml:space="preserve"> Dandenong T. </t>
  </si>
  <si>
    <t xml:space="preserve"> George Cross </t>
  </si>
  <si>
    <t xml:space="preserve"> Green Gully </t>
  </si>
  <si>
    <t xml:space="preserve"> Heidelberg Utd </t>
  </si>
  <si>
    <t xml:space="preserve"> Hume City </t>
  </si>
  <si>
    <t xml:space="preserve"> Melbourne C. B </t>
  </si>
  <si>
    <t xml:space="preserve"> Oakleigh C. </t>
  </si>
  <si>
    <t xml:space="preserve"> Preston Lions </t>
  </si>
  <si>
    <t xml:space="preserve"> South Melbourne </t>
  </si>
  <si>
    <t xml:space="preserve"> St. Albans </t>
  </si>
  <si>
    <t xml:space="preserve"> APIA Leichhardt </t>
  </si>
  <si>
    <t xml:space="preserve"> Blacktown City </t>
  </si>
  <si>
    <t xml:space="preserve"> Manly Utd </t>
  </si>
  <si>
    <t xml:space="preserve"> Marconi S. </t>
  </si>
  <si>
    <t xml:space="preserve"> NWS Spirit </t>
  </si>
  <si>
    <t xml:space="preserve"> Rockdale </t>
  </si>
  <si>
    <t xml:space="preserve"> S George Saints </t>
  </si>
  <si>
    <t xml:space="preserve"> SD Raiders </t>
  </si>
  <si>
    <t xml:space="preserve"> St George City  </t>
  </si>
  <si>
    <t xml:space="preserve"> Sutherland S. </t>
  </si>
  <si>
    <t xml:space="preserve"> Sydney FC B </t>
  </si>
  <si>
    <t xml:space="preserve"> Sydney Olympic </t>
  </si>
  <si>
    <t xml:space="preserve"> Sydney Utd </t>
  </si>
  <si>
    <t xml:space="preserve"> UNSW </t>
  </si>
  <si>
    <t xml:space="preserve"> Wollongong W. </t>
  </si>
  <si>
    <t xml:space="preserve"> WS Wanderers B </t>
  </si>
  <si>
    <t xml:space="preserve"> Brno U19 </t>
  </si>
  <si>
    <t xml:space="preserve"> Budejovice U19 </t>
  </si>
  <si>
    <t xml:space="preserve"> Dukla P. U19 </t>
  </si>
  <si>
    <t xml:space="preserve"> Fastav Zlin U19 </t>
  </si>
  <si>
    <t xml:space="preserve"> H. Kralove U19 </t>
  </si>
  <si>
    <t xml:space="preserve"> Jihlava U19 </t>
  </si>
  <si>
    <t xml:space="preserve"> Karvina U19 </t>
  </si>
  <si>
    <t xml:space="preserve"> M. Boleslav U19 </t>
  </si>
  <si>
    <t xml:space="preserve"> Ostrava U19 </t>
  </si>
  <si>
    <t xml:space="preserve"> Pardubice U19 </t>
  </si>
  <si>
    <t xml:space="preserve"> Plzen U19 </t>
  </si>
  <si>
    <t xml:space="preserve"> S. Liberec U19 </t>
  </si>
  <si>
    <t xml:space="preserve"> S. Olomouc U19 </t>
  </si>
  <si>
    <t xml:space="preserve"> Slavia P. U19 </t>
  </si>
  <si>
    <t xml:space="preserve"> Slovacko U19 </t>
  </si>
  <si>
    <t xml:space="preserve"> Sparta P. U19 </t>
  </si>
  <si>
    <t xml:space="preserve"> Alashkert </t>
  </si>
  <si>
    <t xml:space="preserve"> Ararat Yerevan </t>
  </si>
  <si>
    <t xml:space="preserve"> Ararat-Armenia </t>
  </si>
  <si>
    <t xml:space="preserve"> BKMA </t>
  </si>
  <si>
    <t xml:space="preserve"> Gandzasar </t>
  </si>
  <si>
    <t xml:space="preserve"> Noah </t>
  </si>
  <si>
    <t xml:space="preserve"> Pyunik </t>
  </si>
  <si>
    <t xml:space="preserve"> Shirak </t>
  </si>
  <si>
    <t xml:space="preserve"> Urartu </t>
  </si>
  <si>
    <t xml:space="preserve"> Van </t>
  </si>
  <si>
    <t xml:space="preserve"> Aresimi </t>
  </si>
  <si>
    <t xml:space="preserve"> Bashkimi </t>
  </si>
  <si>
    <t xml:space="preserve"> Brera Strumica </t>
  </si>
  <si>
    <t xml:space="preserve"> Makedonija </t>
  </si>
  <si>
    <t xml:space="preserve"> Pelister </t>
  </si>
  <si>
    <t xml:space="preserve"> Rabotnicki </t>
  </si>
  <si>
    <t xml:space="preserve"> Shkendija </t>
  </si>
  <si>
    <t xml:space="preserve"> Shkupi </t>
  </si>
  <si>
    <t xml:space="preserve"> Sileks </t>
  </si>
  <si>
    <t xml:space="preserve"> Struga </t>
  </si>
  <si>
    <t xml:space="preserve"> Tikves </t>
  </si>
  <si>
    <t xml:space="preserve"> Vardar </t>
  </si>
  <si>
    <t xml:space="preserve"> Baroka </t>
  </si>
  <si>
    <t xml:space="preserve"> Black Leopards </t>
  </si>
  <si>
    <t xml:space="preserve"> Cape Town City </t>
  </si>
  <si>
    <t xml:space="preserve"> Casric Stars </t>
  </si>
  <si>
    <t xml:space="preserve"> Gomora United </t>
  </si>
  <si>
    <t xml:space="preserve"> Highbury </t>
  </si>
  <si>
    <t xml:space="preserve"> Hungry Lions </t>
  </si>
  <si>
    <t xml:space="preserve"> Kruger United </t>
  </si>
  <si>
    <t xml:space="preserve"> Leicesterford </t>
  </si>
  <si>
    <t xml:space="preserve"> Lerumo Lions </t>
  </si>
  <si>
    <t xml:space="preserve"> Midlands Wand. </t>
  </si>
  <si>
    <t xml:space="preserve"> Milford </t>
  </si>
  <si>
    <t xml:space="preserve"> Pretoria U. </t>
  </si>
  <si>
    <t xml:space="preserve"> The Bees </t>
  </si>
  <si>
    <t xml:space="preserve"> Upington City </t>
  </si>
  <si>
    <t xml:space="preserve"> Venda FC </t>
  </si>
  <si>
    <t xml:space="preserve"> Bohemians </t>
  </si>
  <si>
    <t xml:space="preserve"> Derry City </t>
  </si>
  <si>
    <t xml:space="preserve"> Drogheda Utd </t>
  </si>
  <si>
    <t xml:space="preserve"> Dundalk </t>
  </si>
  <si>
    <t xml:space="preserve"> Shamrock Rovers </t>
  </si>
  <si>
    <t xml:space="preserve"> Shelbourne </t>
  </si>
  <si>
    <t xml:space="preserve"> Sligo Rovers </t>
  </si>
  <si>
    <t xml:space="preserve"> St. Patricks </t>
  </si>
  <si>
    <t xml:space="preserve"> Waterford </t>
  </si>
  <si>
    <t xml:space="preserve"> Athlone Town </t>
  </si>
  <si>
    <t xml:space="preserve"> Bray Wanderers </t>
  </si>
  <si>
    <t xml:space="preserve"> Cobh Ramblers </t>
  </si>
  <si>
    <t xml:space="preserve"> Finn Harps </t>
  </si>
  <si>
    <t xml:space="preserve"> Kerry </t>
  </si>
  <si>
    <t xml:space="preserve"> Longford Town </t>
  </si>
  <si>
    <t xml:space="preserve"> Treaty Utd </t>
  </si>
  <si>
    <t xml:space="preserve"> UC Dublin </t>
  </si>
  <si>
    <t xml:space="preserve"> Wexford </t>
  </si>
  <si>
    <t xml:space="preserve"> AlbinoLeffe </t>
  </si>
  <si>
    <t xml:space="preserve"> Alcione </t>
  </si>
  <si>
    <t xml:space="preserve"> Arzignano </t>
  </si>
  <si>
    <t xml:space="preserve"> Cittadella </t>
  </si>
  <si>
    <t xml:space="preserve"> D. Bellunesi </t>
  </si>
  <si>
    <t xml:space="preserve"> Giana Erminio </t>
  </si>
  <si>
    <t xml:space="preserve"> Inter U23 </t>
  </si>
  <si>
    <t xml:space="preserve"> Lecco </t>
  </si>
  <si>
    <t xml:space="preserve"> Lumezzane </t>
  </si>
  <si>
    <t xml:space="preserve"> Novara </t>
  </si>
  <si>
    <t xml:space="preserve"> Ospitaletto </t>
  </si>
  <si>
    <t xml:space="preserve"> Pergolettese </t>
  </si>
  <si>
    <t xml:space="preserve"> Pro Patria </t>
  </si>
  <si>
    <t xml:space="preserve"> Pro Vercelli </t>
  </si>
  <si>
    <t xml:space="preserve"> Renate </t>
  </si>
  <si>
    <t xml:space="preserve"> Trento </t>
  </si>
  <si>
    <t xml:space="preserve"> Triestina </t>
  </si>
  <si>
    <t xml:space="preserve"> Union Brescia </t>
  </si>
  <si>
    <t xml:space="preserve"> Vicenza </t>
  </si>
  <si>
    <t xml:space="preserve"> Virtus Verona </t>
  </si>
  <si>
    <t xml:space="preserve">Anderlecht B </t>
  </si>
  <si>
    <t xml:space="preserve"> 2 de Mayo </t>
  </si>
  <si>
    <t xml:space="preserve"> Cerro Porteno </t>
  </si>
  <si>
    <t xml:space="preserve"> D. Recoleta </t>
  </si>
  <si>
    <t xml:space="preserve"> Guarani </t>
  </si>
  <si>
    <t xml:space="preserve"> Libertad </t>
  </si>
  <si>
    <t xml:space="preserve"> Olimpia </t>
  </si>
  <si>
    <t xml:space="preserve"> Rubio Nu </t>
  </si>
  <si>
    <t xml:space="preserve"> S. Ameliano </t>
  </si>
  <si>
    <t xml:space="preserve"> S. Luqueno </t>
  </si>
  <si>
    <t xml:space="preserve"> S. Trinidense </t>
  </si>
  <si>
    <t xml:space="preserve"> Aucas </t>
  </si>
  <si>
    <t xml:space="preserve"> Barcelona SC </t>
  </si>
  <si>
    <t xml:space="preserve"> D. Cuenca </t>
  </si>
  <si>
    <t xml:space="preserve"> Delfin </t>
  </si>
  <si>
    <t xml:space="preserve"> Emelec </t>
  </si>
  <si>
    <t xml:space="preserve"> Guayaquil City </t>
  </si>
  <si>
    <t xml:space="preserve"> I. del Valle </t>
  </si>
  <si>
    <t xml:space="preserve"> LDU Quito </t>
  </si>
  <si>
    <t xml:space="preserve"> Leones Norte </t>
  </si>
  <si>
    <t xml:space="preserve"> Macara </t>
  </si>
  <si>
    <t xml:space="preserve"> Manta </t>
  </si>
  <si>
    <t xml:space="preserve"> Mushuc Runa </t>
  </si>
  <si>
    <t xml:space="preserve"> Orense </t>
  </si>
  <si>
    <t xml:space="preserve"> Tecnico U. </t>
  </si>
  <si>
    <t xml:space="preserve"> U. Catolica </t>
  </si>
  <si>
    <t xml:space="preserve"> Ajka </t>
  </si>
  <si>
    <t xml:space="preserve"> Bekescsaba </t>
  </si>
  <si>
    <t xml:space="preserve"> Budafoki </t>
  </si>
  <si>
    <t xml:space="preserve"> BVSC </t>
  </si>
  <si>
    <t xml:space="preserve"> Csakvari </t>
  </si>
  <si>
    <t xml:space="preserve"> Honved </t>
  </si>
  <si>
    <t xml:space="preserve"> Karcag SE </t>
  </si>
  <si>
    <t xml:space="preserve"> Kecskemeti TE </t>
  </si>
  <si>
    <t xml:space="preserve"> Kozarmisleny </t>
  </si>
  <si>
    <t xml:space="preserve"> Mezokovesd </t>
  </si>
  <si>
    <t xml:space="preserve"> Soroksar </t>
  </si>
  <si>
    <t xml:space="preserve"> Szeged </t>
  </si>
  <si>
    <t xml:space="preserve"> Szentlorinc </t>
  </si>
  <si>
    <t xml:space="preserve"> Tiszakecske </t>
  </si>
  <si>
    <t xml:space="preserve"> Vasas </t>
  </si>
  <si>
    <t xml:space="preserve"> Videoton FC </t>
  </si>
  <si>
    <t xml:space="preserve"> Basingstoke T. </t>
  </si>
  <si>
    <t xml:space="preserve"> Budaors W </t>
  </si>
  <si>
    <t xml:space="preserve"> Diosgyori VTK W </t>
  </si>
  <si>
    <t xml:space="preserve"> Ferencvaros W </t>
  </si>
  <si>
    <t xml:space="preserve"> Gyori ETO W </t>
  </si>
  <si>
    <t xml:space="preserve"> Honved W </t>
  </si>
  <si>
    <t xml:space="preserve"> MTK Hungaria W </t>
  </si>
  <si>
    <t xml:space="preserve"> Pecsi MFC W </t>
  </si>
  <si>
    <t xml:space="preserve"> Puskas A. W </t>
  </si>
  <si>
    <t xml:space="preserve"> Szekszardi W </t>
  </si>
  <si>
    <t xml:space="preserve"> Szent Mihaly W </t>
  </si>
  <si>
    <t xml:space="preserve"> Ujpest W </t>
  </si>
  <si>
    <t xml:space="preserve"> Viktoria FC W </t>
  </si>
  <si>
    <t xml:space="preserve"> Deutschlandsber </t>
  </si>
  <si>
    <t xml:space="preserve"> SPG Wallern/ASV </t>
  </si>
  <si>
    <t xml:space="preserve"> AB Copenhagen </t>
  </si>
  <si>
    <t xml:space="preserve"> Brabrand </t>
  </si>
  <si>
    <t xml:space="preserve"> Fremad Amager </t>
  </si>
  <si>
    <t xml:space="preserve"> Hellerup IK </t>
  </si>
  <si>
    <t xml:space="preserve"> Helsingor </t>
  </si>
  <si>
    <t xml:space="preserve"> Ishoj </t>
  </si>
  <si>
    <t xml:space="preserve"> Naestved </t>
  </si>
  <si>
    <t xml:space="preserve"> Roskilde </t>
  </si>
  <si>
    <t xml:space="preserve"> Skive </t>
  </si>
  <si>
    <t xml:space="preserve"> Thisted </t>
  </si>
  <si>
    <t xml:space="preserve"> Vendsyssel </t>
  </si>
  <si>
    <t xml:space="preserve"> VSK Arhus </t>
  </si>
  <si>
    <t xml:space="preserve"> Donau </t>
  </si>
  <si>
    <t xml:space="preserve"> Donaufeld </t>
  </si>
  <si>
    <t xml:space="preserve"> Favoritner AC </t>
  </si>
  <si>
    <t xml:space="preserve"> Gloggnitz </t>
  </si>
  <si>
    <t xml:space="preserve"> Kremser </t>
  </si>
  <si>
    <t xml:space="preserve"> Leobendorf </t>
  </si>
  <si>
    <t xml:space="preserve"> Marchfeld </t>
  </si>
  <si>
    <t xml:space="preserve"> Neusiedl </t>
  </si>
  <si>
    <t xml:space="preserve"> Oberwart </t>
  </si>
  <si>
    <t xml:space="preserve"> Parndorf </t>
  </si>
  <si>
    <t xml:space="preserve"> Retz </t>
  </si>
  <si>
    <t xml:space="preserve"> SV Horn </t>
  </si>
  <si>
    <t xml:space="preserve"> Traiskirchen </t>
  </si>
  <si>
    <t xml:space="preserve"> TWL Elektra </t>
  </si>
  <si>
    <t xml:space="preserve"> Union Mauer </t>
  </si>
  <si>
    <t xml:space="preserve"> Wiener SC </t>
  </si>
  <si>
    <t xml:space="preserve"> Wiener Viktoria </t>
  </si>
  <si>
    <t xml:space="preserve"> Alloa Athletic </t>
  </si>
  <si>
    <t xml:space="preserve">Basel B </t>
  </si>
  <si>
    <t xml:space="preserve"> Bavois </t>
  </si>
  <si>
    <t xml:space="preserve"> Biel-Bienne </t>
  </si>
  <si>
    <t xml:space="preserve"> Breitenrain </t>
  </si>
  <si>
    <t xml:space="preserve"> Bruhl </t>
  </si>
  <si>
    <t xml:space="preserve"> BSC Y. Boys B </t>
  </si>
  <si>
    <t xml:space="preserve"> Bulle </t>
  </si>
  <si>
    <t xml:space="preserve"> Cham </t>
  </si>
  <si>
    <t xml:space="preserve"> FC Zurich B </t>
  </si>
  <si>
    <t xml:space="preserve"> Grand-Saconnex </t>
  </si>
  <si>
    <t xml:space="preserve"> Kreuzlingen </t>
  </si>
  <si>
    <t xml:space="preserve"> Kriens </t>
  </si>
  <si>
    <t xml:space="preserve"> Lausanne B </t>
  </si>
  <si>
    <t xml:space="preserve"> Lugano B </t>
  </si>
  <si>
    <t xml:space="preserve"> Luzern B </t>
  </si>
  <si>
    <t xml:space="preserve"> Paradiso </t>
  </si>
  <si>
    <t xml:space="preserve"> Schaffhausen </t>
  </si>
  <si>
    <t xml:space="preserve"> Vevey Sports </t>
  </si>
  <si>
    <t xml:space="preserve">Athlone Town </t>
  </si>
  <si>
    <t xml:space="preserve"> A. Astorga </t>
  </si>
  <si>
    <t xml:space="preserve"> Bergantinos </t>
  </si>
  <si>
    <t xml:space="preserve"> Burgos B </t>
  </si>
  <si>
    <t xml:space="preserve"> Coruxo </t>
  </si>
  <si>
    <t xml:space="preserve"> D. Fabril </t>
  </si>
  <si>
    <t xml:space="preserve"> Gimnastica </t>
  </si>
  <si>
    <t xml:space="preserve"> Langreo </t>
  </si>
  <si>
    <t xml:space="preserve"> Lealtad </t>
  </si>
  <si>
    <t xml:space="preserve"> Marino de L. </t>
  </si>
  <si>
    <t xml:space="preserve"> Numancia </t>
  </si>
  <si>
    <t xml:space="preserve"> Rayo Cantabria </t>
  </si>
  <si>
    <t xml:space="preserve"> Real Avila </t>
  </si>
  <si>
    <t xml:space="preserve"> Real Oviedo B </t>
  </si>
  <si>
    <t xml:space="preserve"> Salamanca CF </t>
  </si>
  <si>
    <t xml:space="preserve"> Samano </t>
  </si>
  <si>
    <t xml:space="preserve"> Sarriana </t>
  </si>
  <si>
    <t xml:space="preserve"> UD Ourense </t>
  </si>
  <si>
    <t xml:space="preserve"> Valladolid B </t>
  </si>
  <si>
    <t xml:space="preserve"> Alaves B </t>
  </si>
  <si>
    <t xml:space="preserve"> Alfaro </t>
  </si>
  <si>
    <t xml:space="preserve"> Amorebieta </t>
  </si>
  <si>
    <t xml:space="preserve"> Basconia </t>
  </si>
  <si>
    <t xml:space="preserve"> Beasain </t>
  </si>
  <si>
    <t xml:space="preserve"> Ebro </t>
  </si>
  <si>
    <t xml:space="preserve"> Eibar B </t>
  </si>
  <si>
    <t xml:space="preserve"> Ejea </t>
  </si>
  <si>
    <t xml:space="preserve"> Gernika </t>
  </si>
  <si>
    <t xml:space="preserve"> Mutilvera </t>
  </si>
  <si>
    <t xml:space="preserve"> Naxara </t>
  </si>
  <si>
    <t xml:space="preserve"> Real Union </t>
  </si>
  <si>
    <t xml:space="preserve"> Real Zaragoza B </t>
  </si>
  <si>
    <t xml:space="preserve"> SD Logrones </t>
  </si>
  <si>
    <t xml:space="preserve"> Sestao River </t>
  </si>
  <si>
    <t xml:space="preserve"> Tudelano </t>
  </si>
  <si>
    <t xml:space="preserve"> UD Logrones </t>
  </si>
  <si>
    <t xml:space="preserve"> Utebo </t>
  </si>
  <si>
    <t xml:space="preserve"> A. Baleares </t>
  </si>
  <si>
    <t xml:space="preserve"> Alcoyano </t>
  </si>
  <si>
    <t xml:space="preserve"> Andratx </t>
  </si>
  <si>
    <t xml:space="preserve"> Atletic Lleida </t>
  </si>
  <si>
    <t xml:space="preserve"> Barbastro </t>
  </si>
  <si>
    <t xml:space="preserve"> Castellon B </t>
  </si>
  <si>
    <t xml:space="preserve"> Espanyol B </t>
  </si>
  <si>
    <t xml:space="preserve"> FC Barcelona B </t>
  </si>
  <si>
    <t xml:space="preserve"> Girona B </t>
  </si>
  <si>
    <t xml:space="preserve"> Olot </t>
  </si>
  <si>
    <t xml:space="preserve"> Poblense </t>
  </si>
  <si>
    <t xml:space="preserve"> Porreres </t>
  </si>
  <si>
    <t xml:space="preserve"> Reus FC Reddis </t>
  </si>
  <si>
    <t xml:space="preserve"> Sant Andreu </t>
  </si>
  <si>
    <t xml:space="preserve"> SD Ibiza </t>
  </si>
  <si>
    <t xml:space="preserve"> Terrassa </t>
  </si>
  <si>
    <t xml:space="preserve"> Torrent </t>
  </si>
  <si>
    <t xml:space="preserve"> Valencia B </t>
  </si>
  <si>
    <t xml:space="preserve"> A. Quilmes </t>
  </si>
  <si>
    <t xml:space="preserve"> Argentino Merlo </t>
  </si>
  <si>
    <t xml:space="preserve"> Arsenal Sarandi </t>
  </si>
  <si>
    <t xml:space="preserve"> Brown de A. </t>
  </si>
  <si>
    <t xml:space="preserve"> Camioneros </t>
  </si>
  <si>
    <t xml:space="preserve"> D. Armenio </t>
  </si>
  <si>
    <t xml:space="preserve"> D. Laferrere </t>
  </si>
  <si>
    <t xml:space="preserve"> Defensores U. </t>
  </si>
  <si>
    <t xml:space="preserve"> Deportivo Merlo </t>
  </si>
  <si>
    <t xml:space="preserve"> Dock Sud </t>
  </si>
  <si>
    <t xml:space="preserve"> Excursionistas </t>
  </si>
  <si>
    <t xml:space="preserve"> Flandria </t>
  </si>
  <si>
    <t xml:space="preserve"> Ituzaingo </t>
  </si>
  <si>
    <t xml:space="preserve"> Liniers </t>
  </si>
  <si>
    <t xml:space="preserve"> Real Pilar </t>
  </si>
  <si>
    <t xml:space="preserve"> S. Italiano </t>
  </si>
  <si>
    <t xml:space="preserve"> SM Burzaco </t>
  </si>
  <si>
    <t xml:space="preserve"> Talleres R. E. </t>
  </si>
  <si>
    <t xml:space="preserve"> UAI Urquiza </t>
  </si>
  <si>
    <t xml:space="preserve"> V. San Carlos </t>
  </si>
  <si>
    <t xml:space="preserve"> Villa Dalmine </t>
  </si>
  <si>
    <t xml:space="preserve">Arsenal Tula </t>
  </si>
  <si>
    <t xml:space="preserve"> Bayern Munich W </t>
  </si>
  <si>
    <t xml:space="preserve"> CZ Jena W </t>
  </si>
  <si>
    <t xml:space="preserve"> E. Frankfurt W </t>
  </si>
  <si>
    <t xml:space="preserve"> FC Koln W </t>
  </si>
  <si>
    <t xml:space="preserve"> Freiburg W </t>
  </si>
  <si>
    <t xml:space="preserve"> Hamburger SV W </t>
  </si>
  <si>
    <t xml:space="preserve"> Hoffenheim W </t>
  </si>
  <si>
    <t xml:space="preserve"> Leverkusen W </t>
  </si>
  <si>
    <t xml:space="preserve"> Nurnberg W </t>
  </si>
  <si>
    <t xml:space="preserve"> RB Leipzig W </t>
  </si>
  <si>
    <t xml:space="preserve"> SGS Essen W </t>
  </si>
  <si>
    <t xml:space="preserve"> Union Berlin W </t>
  </si>
  <si>
    <t xml:space="preserve"> Werder Bremen W </t>
  </si>
  <si>
    <t xml:space="preserve"> Wolfsburg W </t>
  </si>
  <si>
    <t xml:space="preserve"> Albion </t>
  </si>
  <si>
    <t xml:space="preserve"> Boston River </t>
  </si>
  <si>
    <t xml:space="preserve"> Central Espanol </t>
  </si>
  <si>
    <t xml:space="preserve"> Cerro </t>
  </si>
  <si>
    <t xml:space="preserve"> Cerro Largo </t>
  </si>
  <si>
    <t xml:space="preserve"> D. Maldonado </t>
  </si>
  <si>
    <t xml:space="preserve"> Danubio </t>
  </si>
  <si>
    <t xml:space="preserve"> Defensor S. </t>
  </si>
  <si>
    <t xml:space="preserve"> Juventud </t>
  </si>
  <si>
    <t xml:space="preserve"> Liverpool M. </t>
  </si>
  <si>
    <t xml:space="preserve"> Montevideo City </t>
  </si>
  <si>
    <t xml:space="preserve"> Penarol </t>
  </si>
  <si>
    <t xml:space="preserve"> Progreso </t>
  </si>
  <si>
    <t xml:space="preserve"> Racing CM </t>
  </si>
  <si>
    <t xml:space="preserve"> Wanderers </t>
  </si>
  <si>
    <t xml:space="preserve"> Atletico Cali </t>
  </si>
  <si>
    <t xml:space="preserve"> Barranquilla </t>
  </si>
  <si>
    <t xml:space="preserve"> Bogota </t>
  </si>
  <si>
    <t xml:space="preserve"> D. Quindio </t>
  </si>
  <si>
    <t xml:space="preserve"> Independiente Y </t>
  </si>
  <si>
    <t xml:space="preserve"> Inter Palmira </t>
  </si>
  <si>
    <t xml:space="preserve"> Leones </t>
  </si>
  <si>
    <t xml:space="preserve"> Orsomarso </t>
  </si>
  <si>
    <t xml:space="preserve"> R. Cundinamarca </t>
  </si>
  <si>
    <t xml:space="preserve"> Real Cartagena </t>
  </si>
  <si>
    <t xml:space="preserve"> Real Santander </t>
  </si>
  <si>
    <t xml:space="preserve"> Union Magdalena </t>
  </si>
  <si>
    <t xml:space="preserve">Angers </t>
  </si>
  <si>
    <t xml:space="preserve"> Aizawl </t>
  </si>
  <si>
    <t xml:space="preserve"> Chanmari </t>
  </si>
  <si>
    <t xml:space="preserve"> Dempo </t>
  </si>
  <si>
    <t xml:space="preserve"> Diamond Harbour </t>
  </si>
  <si>
    <t xml:space="preserve"> Gokulam </t>
  </si>
  <si>
    <t xml:space="preserve"> Namdhari </t>
  </si>
  <si>
    <t xml:space="preserve"> Rajasthan Utd </t>
  </si>
  <si>
    <t xml:space="preserve"> Real Kashmir </t>
  </si>
  <si>
    <t xml:space="preserve"> Shillong Lajong </t>
  </si>
  <si>
    <t xml:space="preserve"> Sreenidi Deccan </t>
  </si>
  <si>
    <t xml:space="preserve"> Ansbach </t>
  </si>
  <si>
    <t xml:space="preserve"> Aschaffenburg </t>
  </si>
  <si>
    <t xml:space="preserve"> Aubstadt </t>
  </si>
  <si>
    <t xml:space="preserve"> Augsburg B </t>
  </si>
  <si>
    <t xml:space="preserve"> Bayern Munich B </t>
  </si>
  <si>
    <t xml:space="preserve"> Bayreuth </t>
  </si>
  <si>
    <t xml:space="preserve"> Buchbach </t>
  </si>
  <si>
    <t xml:space="preserve"> Eichstatt </t>
  </si>
  <si>
    <t xml:space="preserve"> Greuther F. B </t>
  </si>
  <si>
    <t xml:space="preserve"> Hankofen-H. </t>
  </si>
  <si>
    <t xml:space="preserve"> Illertissen </t>
  </si>
  <si>
    <t xml:space="preserve"> Memmingen </t>
  </si>
  <si>
    <t xml:space="preserve"> Nurnberg B </t>
  </si>
  <si>
    <t xml:space="preserve"> Schwaben A. </t>
  </si>
  <si>
    <t xml:space="preserve"> Unterhaching </t>
  </si>
  <si>
    <t xml:space="preserve"> Vilzing </t>
  </si>
  <si>
    <t xml:space="preserve"> W. Burghausen </t>
  </si>
  <si>
    <t xml:space="preserve"> Wurzburger K. </t>
  </si>
  <si>
    <t xml:space="preserve"> Basel B </t>
  </si>
  <si>
    <t xml:space="preserve"> Audax Italiano </t>
  </si>
  <si>
    <t xml:space="preserve"> Cobresal </t>
  </si>
  <si>
    <t xml:space="preserve"> Colo-Colo </t>
  </si>
  <si>
    <t xml:space="preserve"> Concepcion </t>
  </si>
  <si>
    <t xml:space="preserve"> Coquimbo Unido </t>
  </si>
  <si>
    <t xml:space="preserve"> D. Limache </t>
  </si>
  <si>
    <t xml:space="preserve"> Huachipato </t>
  </si>
  <si>
    <t xml:space="preserve"> La Serena </t>
  </si>
  <si>
    <t xml:space="preserve"> Nublense </t>
  </si>
  <si>
    <t xml:space="preserve"> OHiggins </t>
  </si>
  <si>
    <t xml:space="preserve"> Palestino </t>
  </si>
  <si>
    <t xml:space="preserve"> U. Concepcion </t>
  </si>
  <si>
    <t xml:space="preserve"> U. de Chile </t>
  </si>
  <si>
    <t xml:space="preserve"> Union La Calera </t>
  </si>
  <si>
    <t xml:space="preserve"> Alajuelense </t>
  </si>
  <si>
    <t xml:space="preserve"> Cartagines </t>
  </si>
  <si>
    <t xml:space="preserve"> Guadalupe </t>
  </si>
  <si>
    <t xml:space="preserve"> Herediano </t>
  </si>
  <si>
    <t xml:space="preserve"> M. Liberia </t>
  </si>
  <si>
    <t xml:space="preserve"> Puntarenas </t>
  </si>
  <si>
    <t xml:space="preserve"> San Carlos </t>
  </si>
  <si>
    <t xml:space="preserve"> Saprissa </t>
  </si>
  <si>
    <t xml:space="preserve"> Sporting SJ </t>
  </si>
  <si>
    <t xml:space="preserve"> Zeledon </t>
  </si>
  <si>
    <t xml:space="preserve"> Dinamo Zagreb </t>
  </si>
  <si>
    <t xml:space="preserve"> K. Ismailia </t>
  </si>
  <si>
    <t xml:space="preserve"> Artis Brno </t>
  </si>
  <si>
    <t xml:space="preserve"> Ahrobiznes V. </t>
  </si>
  <si>
    <t xml:space="preserve"> Bukovyna </t>
  </si>
  <si>
    <t xml:space="preserve"> Chernihiv </t>
  </si>
  <si>
    <t xml:space="preserve"> Chornomorets </t>
  </si>
  <si>
    <t xml:space="preserve"> Inhulets </t>
  </si>
  <si>
    <t xml:space="preserve"> Livyi Bereh </t>
  </si>
  <si>
    <t xml:space="preserve"> M. Kharkiv </t>
  </si>
  <si>
    <t xml:space="preserve"> Mariupol </t>
  </si>
  <si>
    <t xml:space="preserve"> MFC Metalurh </t>
  </si>
  <si>
    <t xml:space="preserve"> Nyva Ternopil </t>
  </si>
  <si>
    <t xml:space="preserve"> P. Horodenka </t>
  </si>
  <si>
    <t xml:space="preserve"> Podillya K. </t>
  </si>
  <si>
    <t xml:space="preserve"> Prykarpattia </t>
  </si>
  <si>
    <t xml:space="preserve"> UCSA </t>
  </si>
  <si>
    <t xml:space="preserve"> Viktoriya M. </t>
  </si>
  <si>
    <t xml:space="preserve"> Vorskla Poltava </t>
  </si>
  <si>
    <t xml:space="preserve"> Alcorcon </t>
  </si>
  <si>
    <t xml:space="preserve"> Algeciras </t>
  </si>
  <si>
    <t xml:space="preserve"> Antequera </t>
  </si>
  <si>
    <t xml:space="preserve"> Atletico M. B </t>
  </si>
  <si>
    <t xml:space="preserve"> Cartagena </t>
  </si>
  <si>
    <t xml:space="preserve"> Eldense </t>
  </si>
  <si>
    <t xml:space="preserve"> Europa </t>
  </si>
  <si>
    <t xml:space="preserve"> Gimnastic T. </t>
  </si>
  <si>
    <t xml:space="preserve"> Hercules </t>
  </si>
  <si>
    <t xml:space="preserve"> Marbella </t>
  </si>
  <si>
    <t xml:space="preserve"> Real Betis B </t>
  </si>
  <si>
    <t xml:space="preserve"> Real Murcia </t>
  </si>
  <si>
    <t xml:space="preserve"> Sabadell </t>
  </si>
  <si>
    <t xml:space="preserve"> Sanluqueno </t>
  </si>
  <si>
    <t xml:space="preserve"> Sevilla FC B </t>
  </si>
  <si>
    <t xml:space="preserve"> Tarazona </t>
  </si>
  <si>
    <t xml:space="preserve"> Teruel </t>
  </si>
  <si>
    <t xml:space="preserve"> Torremolinos </t>
  </si>
  <si>
    <t xml:space="preserve"> UD Ibiza </t>
  </si>
  <si>
    <t xml:space="preserve"> Villarreal B </t>
  </si>
  <si>
    <t xml:space="preserve">A. Astorga </t>
  </si>
  <si>
    <t xml:space="preserve">Athletico PR </t>
  </si>
  <si>
    <t xml:space="preserve">ucaramanga </t>
  </si>
  <si>
    <t xml:space="preserve"> Airdrieonians </t>
  </si>
  <si>
    <t xml:space="preserve"> L. Krumovgrad </t>
  </si>
  <si>
    <t xml:space="preserve"> Al Ahli </t>
  </si>
  <si>
    <t xml:space="preserve"> Al Buqaa </t>
  </si>
  <si>
    <t xml:space="preserve"> Al Faysali </t>
  </si>
  <si>
    <t xml:space="preserve"> Al Hussein </t>
  </si>
  <si>
    <t xml:space="preserve"> Al Jazeera </t>
  </si>
  <si>
    <t xml:space="preserve"> Al Ramtha </t>
  </si>
  <si>
    <t xml:space="preserve"> Al Salt </t>
  </si>
  <si>
    <t xml:space="preserve"> Al Wihdat </t>
  </si>
  <si>
    <t xml:space="preserve"> Sama Al Sarhan </t>
  </si>
  <si>
    <t xml:space="preserve"> Shabab Al Ordon </t>
  </si>
  <si>
    <t xml:space="preserve"> Banga </t>
  </si>
  <si>
    <t xml:space="preserve"> Dziugas Telsiai </t>
  </si>
  <si>
    <t xml:space="preserve"> Hegelmann L. </t>
  </si>
  <si>
    <t xml:space="preserve"> Kauno Zalgiris </t>
  </si>
  <si>
    <t xml:space="preserve"> Panevezys </t>
  </si>
  <si>
    <t xml:space="preserve"> Riteriai </t>
  </si>
  <si>
    <t xml:space="preserve"> Siauliai </t>
  </si>
  <si>
    <t xml:space="preserve"> Suduva </t>
  </si>
  <si>
    <t xml:space="preserve"> TransINVEST </t>
  </si>
  <si>
    <t xml:space="preserve"> Zalgiris </t>
  </si>
  <si>
    <t xml:space="preserve"> Anyang </t>
  </si>
  <si>
    <t xml:space="preserve"> Bucheon FC </t>
  </si>
  <si>
    <t xml:space="preserve"> Daejeon Citizen </t>
  </si>
  <si>
    <t xml:space="preserve"> Gangwon </t>
  </si>
  <si>
    <t xml:space="preserve"> Gimcheon Sangmu </t>
  </si>
  <si>
    <t xml:space="preserve"> Gwangju </t>
  </si>
  <si>
    <t xml:space="preserve"> Incheon Utd </t>
  </si>
  <si>
    <t xml:space="preserve"> Jeju Utd </t>
  </si>
  <si>
    <t xml:space="preserve"> Jeonbuk </t>
  </si>
  <si>
    <t xml:space="preserve"> Pohang Steelers </t>
  </si>
  <si>
    <t xml:space="preserve"> Seoul </t>
  </si>
  <si>
    <t xml:space="preserve"> Ulsan </t>
  </si>
  <si>
    <t xml:space="preserve"> Ansan Greeners </t>
  </si>
  <si>
    <t xml:space="preserve"> Asan </t>
  </si>
  <si>
    <t xml:space="preserve"> Busan IPark </t>
  </si>
  <si>
    <t xml:space="preserve"> Cheonan City </t>
  </si>
  <si>
    <t xml:space="preserve"> Cheongju </t>
  </si>
  <si>
    <t xml:space="preserve"> Daegu </t>
  </si>
  <si>
    <t xml:space="preserve"> Gimhae </t>
  </si>
  <si>
    <t xml:space="preserve"> Gimpo </t>
  </si>
  <si>
    <t xml:space="preserve"> Gyeongnam </t>
  </si>
  <si>
    <t xml:space="preserve"> Hwaseong </t>
  </si>
  <si>
    <t xml:space="preserve"> Jeonnam </t>
  </si>
  <si>
    <t xml:space="preserve"> Paju Citizen </t>
  </si>
  <si>
    <t xml:space="preserve"> Seongnam </t>
  </si>
  <si>
    <t xml:space="preserve"> Seoul E-Land </t>
  </si>
  <si>
    <t xml:space="preserve"> Suwon Bluewings </t>
  </si>
  <si>
    <t xml:space="preserve"> Suwon City </t>
  </si>
  <si>
    <t xml:space="preserve"> Yongin City </t>
  </si>
  <si>
    <t xml:space="preserve"> Atlanta Utd </t>
  </si>
  <si>
    <t xml:space="preserve"> Austin </t>
  </si>
  <si>
    <t xml:space="preserve"> CF Montreal </t>
  </si>
  <si>
    <t xml:space="preserve"> Charlotte </t>
  </si>
  <si>
    <t xml:space="preserve"> Chicago Fire </t>
  </si>
  <si>
    <t xml:space="preserve"> Cincinnati </t>
  </si>
  <si>
    <t xml:space="preserve"> Colorado Rapids </t>
  </si>
  <si>
    <t xml:space="preserve"> Columbus Crew </t>
  </si>
  <si>
    <t xml:space="preserve"> Dallas </t>
  </si>
  <si>
    <t xml:space="preserve"> DC United </t>
  </si>
  <si>
    <t xml:space="preserve"> Houston Dynamo </t>
  </si>
  <si>
    <t xml:space="preserve"> Inter Miami </t>
  </si>
  <si>
    <t xml:space="preserve"> LA Galaxy </t>
  </si>
  <si>
    <t xml:space="preserve"> Los Angeles FC </t>
  </si>
  <si>
    <t xml:space="preserve"> Minnesota Utd </t>
  </si>
  <si>
    <t xml:space="preserve"> Nashville SC </t>
  </si>
  <si>
    <t xml:space="preserve"> New England </t>
  </si>
  <si>
    <t xml:space="preserve"> New York City </t>
  </si>
  <si>
    <t xml:space="preserve"> New York RB </t>
  </si>
  <si>
    <t xml:space="preserve"> Orlando City </t>
  </si>
  <si>
    <t xml:space="preserve"> Philadelphia </t>
  </si>
  <si>
    <t xml:space="preserve"> Portland </t>
  </si>
  <si>
    <t xml:space="preserve"> Real Salt Lake </t>
  </si>
  <si>
    <t xml:space="preserve"> San Diego </t>
  </si>
  <si>
    <t xml:space="preserve"> Seattle </t>
  </si>
  <si>
    <t xml:space="preserve"> SJ Earthquakes </t>
  </si>
  <si>
    <t xml:space="preserve"> Sporting KC </t>
  </si>
  <si>
    <t xml:space="preserve"> St. Louis City </t>
  </si>
  <si>
    <t xml:space="preserve"> Toronto </t>
  </si>
  <si>
    <t xml:space="preserve"> Vancouver </t>
  </si>
  <si>
    <t xml:space="preserve"> ADT </t>
  </si>
  <si>
    <t xml:space="preserve"> Alianza A. </t>
  </si>
  <si>
    <t xml:space="preserve"> Alianza Lima </t>
  </si>
  <si>
    <t xml:space="preserve"> Atletico Grau </t>
  </si>
  <si>
    <t xml:space="preserve"> Cajamarca </t>
  </si>
  <si>
    <t xml:space="preserve"> Cienciano </t>
  </si>
  <si>
    <t xml:space="preserve"> Comerciantes U. </t>
  </si>
  <si>
    <t xml:space="preserve"> Cusco </t>
  </si>
  <si>
    <t xml:space="preserve"> D. Garcilaso </t>
  </si>
  <si>
    <t xml:space="preserve"> FBC Melgar </t>
  </si>
  <si>
    <t xml:space="preserve"> FC Cajamarca </t>
  </si>
  <si>
    <t xml:space="preserve"> Juan Pablo II </t>
  </si>
  <si>
    <t xml:space="preserve"> Los Chankas </t>
  </si>
  <si>
    <t xml:space="preserve"> S. Cristal </t>
  </si>
  <si>
    <t xml:space="preserve"> Sport Boys </t>
  </si>
  <si>
    <t xml:space="preserve"> Sport Huancayo </t>
  </si>
  <si>
    <t xml:space="preserve"> UCV Moquegua </t>
  </si>
  <si>
    <t xml:space="preserve"> Universitario </t>
  </si>
  <si>
    <t xml:space="preserve"> Armadale </t>
  </si>
  <si>
    <t xml:space="preserve"> Balcatta </t>
  </si>
  <si>
    <t xml:space="preserve"> Bayswater </t>
  </si>
  <si>
    <t xml:space="preserve"> Dianella WE </t>
  </si>
  <si>
    <t xml:space="preserve"> Fremantle City </t>
  </si>
  <si>
    <t xml:space="preserve"> O. Kingsway </t>
  </si>
  <si>
    <t xml:space="preserve"> Perth Glory B </t>
  </si>
  <si>
    <t xml:space="preserve"> Perth RedStar </t>
  </si>
  <si>
    <t xml:space="preserve"> Perth SC </t>
  </si>
  <si>
    <t xml:space="preserve"> Stirling </t>
  </si>
  <si>
    <t xml:space="preserve"> Western Knights </t>
  </si>
  <si>
    <t xml:space="preserve"> AC Escaldes </t>
  </si>
  <si>
    <t xml:space="preserve"> Carroi </t>
  </si>
  <si>
    <t xml:space="preserve"> Esperanca </t>
  </si>
  <si>
    <t xml:space="preserve"> FC Santa Coloma </t>
  </si>
  <si>
    <t xml:space="preserve"> Inter Escaldes </t>
  </si>
  <si>
    <t xml:space="preserve"> Ordino </t>
  </si>
  <si>
    <t xml:space="preserve"> Penya Encarnada </t>
  </si>
  <si>
    <t xml:space="preserve"> UE Santa Coloma </t>
  </si>
  <si>
    <t xml:space="preserve">Arezzo </t>
  </si>
  <si>
    <t xml:space="preserve">Atlanta Utd </t>
  </si>
  <si>
    <t xml:space="preserve"> Antofagasta </t>
  </si>
  <si>
    <t xml:space="preserve"> CD Santa Cruz </t>
  </si>
  <si>
    <t xml:space="preserve"> Cobreloa </t>
  </si>
  <si>
    <t xml:space="preserve"> Copiapo </t>
  </si>
  <si>
    <t xml:space="preserve"> Curico Unido </t>
  </si>
  <si>
    <t xml:space="preserve"> D. Iquique </t>
  </si>
  <si>
    <t xml:space="preserve"> Deportes Temuco </t>
  </si>
  <si>
    <t xml:space="preserve"> Magallanes </t>
  </si>
  <si>
    <t xml:space="preserve"> Puerto Montt </t>
  </si>
  <si>
    <t xml:space="preserve"> Recoleta </t>
  </si>
  <si>
    <t xml:space="preserve"> S. Wanderers </t>
  </si>
  <si>
    <t xml:space="preserve"> San Luis </t>
  </si>
  <si>
    <t xml:space="preserve"> San Marcos </t>
  </si>
  <si>
    <t xml:space="preserve"> U. San Felipe </t>
  </si>
  <si>
    <t xml:space="preserve"> Union Espanola </t>
  </si>
  <si>
    <t xml:space="preserve"> Auda </t>
  </si>
  <si>
    <t xml:space="preserve"> Daugavpils </t>
  </si>
  <si>
    <t xml:space="preserve"> FS Jelgava </t>
  </si>
  <si>
    <t xml:space="preserve"> Grobina </t>
  </si>
  <si>
    <t xml:space="preserve"> Liepaja </t>
  </si>
  <si>
    <t xml:space="preserve"> Ogre United </t>
  </si>
  <si>
    <t xml:space="preserve"> RFS </t>
  </si>
  <si>
    <t xml:space="preserve"> Riga FC </t>
  </si>
  <si>
    <t xml:space="preserve"> Super Nova </t>
  </si>
  <si>
    <t xml:space="preserve"> Tukums </t>
  </si>
  <si>
    <t xml:space="preserve">Akhmat Grozny </t>
  </si>
  <si>
    <t xml:space="preserve"> Akron </t>
  </si>
  <si>
    <t xml:space="preserve"> Baltika </t>
  </si>
  <si>
    <t xml:space="preserve"> CSKA Moscow </t>
  </si>
  <si>
    <t xml:space="preserve"> Dinamo Moscow </t>
  </si>
  <si>
    <t xml:space="preserve"> FC Krasnodar </t>
  </si>
  <si>
    <t xml:space="preserve"> Krylya Sovetov </t>
  </si>
  <si>
    <t xml:space="preserve"> Lokomotiv M. </t>
  </si>
  <si>
    <t xml:space="preserve"> Makhachkala </t>
  </si>
  <si>
    <t xml:space="preserve"> Nizhny Novgorod </t>
  </si>
  <si>
    <t xml:space="preserve"> Orenburg </t>
  </si>
  <si>
    <t xml:space="preserve"> PFC Sochi </t>
  </si>
  <si>
    <t xml:space="preserve"> Rostov </t>
  </si>
  <si>
    <t xml:space="preserve"> Rubin Kazan </t>
  </si>
  <si>
    <t xml:space="preserve"> Spartak Moscow </t>
  </si>
  <si>
    <t xml:space="preserve"> Zenit </t>
  </si>
  <si>
    <t xml:space="preserve"> Akhmat Grozny </t>
  </si>
  <si>
    <t xml:space="preserve"> Buchholz </t>
  </si>
  <si>
    <t xml:space="preserve"> Curslack-N. </t>
  </si>
  <si>
    <t xml:space="preserve"> Dassendorf </t>
  </si>
  <si>
    <t xml:space="preserve"> Eimsbutteler </t>
  </si>
  <si>
    <t xml:space="preserve"> ETSV Hamburg </t>
  </si>
  <si>
    <t xml:space="preserve"> Halstenbek-R. </t>
  </si>
  <si>
    <t xml:space="preserve"> Harksheide </t>
  </si>
  <si>
    <t xml:space="preserve"> HEBC </t>
  </si>
  <si>
    <t xml:space="preserve"> HT16 </t>
  </si>
  <si>
    <t xml:space="preserve"> Niendorfer TSV </t>
  </si>
  <si>
    <t xml:space="preserve"> Nikola Tesla </t>
  </si>
  <si>
    <t xml:space="preserve"> Paloma </t>
  </si>
  <si>
    <t xml:space="preserve"> Sasel </t>
  </si>
  <si>
    <t xml:space="preserve"> Suderelbe </t>
  </si>
  <si>
    <t xml:space="preserve"> T. Wilhelmsburg </t>
  </si>
  <si>
    <t xml:space="preserve"> Teutonia O. </t>
  </si>
  <si>
    <t xml:space="preserve"> Victoria H. </t>
  </si>
  <si>
    <t xml:space="preserve"> Vorwarts-Wacker </t>
  </si>
  <si>
    <t xml:space="preserve"> B36 Torshavn B </t>
  </si>
  <si>
    <t xml:space="preserve"> B71 Sandur </t>
  </si>
  <si>
    <t xml:space="preserve"> HB T. B </t>
  </si>
  <si>
    <t xml:space="preserve"> Hoyvik </t>
  </si>
  <si>
    <t xml:space="preserve"> IF Fuglafjordur </t>
  </si>
  <si>
    <t xml:space="preserve"> NSI Runavik B </t>
  </si>
  <si>
    <t xml:space="preserve"> Streymur B </t>
  </si>
  <si>
    <t xml:space="preserve"> Suduroy </t>
  </si>
  <si>
    <t xml:space="preserve"> TB Tvoroyri </t>
  </si>
  <si>
    <t xml:space="preserve"> Vikingur B </t>
  </si>
  <si>
    <t xml:space="preserve"> Beijing Guoan </t>
  </si>
  <si>
    <t xml:space="preserve"> Chengdu </t>
  </si>
  <si>
    <t xml:space="preserve"> Chongqing T. </t>
  </si>
  <si>
    <t xml:space="preserve"> Dalian Yingbo </t>
  </si>
  <si>
    <t xml:space="preserve"> Henan SL </t>
  </si>
  <si>
    <t xml:space="preserve"> Liaoning Tieren </t>
  </si>
  <si>
    <t xml:space="preserve"> Qingdao Hainiu </t>
  </si>
  <si>
    <t xml:space="preserve"> Qingdao West C. </t>
  </si>
  <si>
    <t xml:space="preserve"> S. Shenhua </t>
  </si>
  <si>
    <t xml:space="preserve"> Shandong T. </t>
  </si>
  <si>
    <t xml:space="preserve"> Shanghai Port </t>
  </si>
  <si>
    <t xml:space="preserve"> Shenzhen </t>
  </si>
  <si>
    <t xml:space="preserve"> Tianjin JT </t>
  </si>
  <si>
    <t xml:space="preserve"> Wuhan Three T. </t>
  </si>
  <si>
    <t xml:space="preserve"> Yunnan Yukun </t>
  </si>
  <si>
    <t xml:space="preserve"> Zhejiang </t>
  </si>
  <si>
    <t xml:space="preserve"> Asane </t>
  </si>
  <si>
    <t xml:space="preserve"> Bryne </t>
  </si>
  <si>
    <t xml:space="preserve"> Egersund </t>
  </si>
  <si>
    <t xml:space="preserve"> Haugesund </t>
  </si>
  <si>
    <t xml:space="preserve"> Hodd </t>
  </si>
  <si>
    <t xml:space="preserve"> Kongsvinger </t>
  </si>
  <si>
    <t xml:space="preserve"> Lyn </t>
  </si>
  <si>
    <t xml:space="preserve"> Moss </t>
  </si>
  <si>
    <t xml:space="preserve"> Odd </t>
  </si>
  <si>
    <t xml:space="preserve"> Ranheim </t>
  </si>
  <si>
    <t xml:space="preserve"> Raufoss </t>
  </si>
  <si>
    <t xml:space="preserve"> Sandnes Ulf </t>
  </si>
  <si>
    <t xml:space="preserve"> Sogndal </t>
  </si>
  <si>
    <t xml:space="preserve"> Stabaek </t>
  </si>
  <si>
    <t xml:space="preserve"> Strommen </t>
  </si>
  <si>
    <t xml:space="preserve"> Stromsgodset </t>
  </si>
  <si>
    <t xml:space="preserve"> Arsenal Tivat </t>
  </si>
  <si>
    <t xml:space="preserve"> Bokelj </t>
  </si>
  <si>
    <t xml:space="preserve"> Buducnost </t>
  </si>
  <si>
    <t xml:space="preserve"> Decic </t>
  </si>
  <si>
    <t xml:space="preserve"> Jedinstvo </t>
  </si>
  <si>
    <t xml:space="preserve"> Jezero </t>
  </si>
  <si>
    <t xml:space="preserve"> Mladost DG </t>
  </si>
  <si>
    <t xml:space="preserve"> Mornar Bar </t>
  </si>
  <si>
    <t xml:space="preserve"> Petrovac </t>
  </si>
  <si>
    <t xml:space="preserve"> Sutjeska </t>
  </si>
  <si>
    <t xml:space="preserve"> Aalesund </t>
  </si>
  <si>
    <t xml:space="preserve"> Bodo/Glimt </t>
  </si>
  <si>
    <t xml:space="preserve"> Brann </t>
  </si>
  <si>
    <t xml:space="preserve"> Fredrikstad </t>
  </si>
  <si>
    <t xml:space="preserve"> HamKam </t>
  </si>
  <si>
    <t xml:space="preserve"> KFUM Oslo </t>
  </si>
  <si>
    <t xml:space="preserve"> Kristiansund </t>
  </si>
  <si>
    <t xml:space="preserve"> Lillestrom </t>
  </si>
  <si>
    <t xml:space="preserve"> Molde </t>
  </si>
  <si>
    <t xml:space="preserve"> Rosenborg </t>
  </si>
  <si>
    <t xml:space="preserve"> Sandefjord </t>
  </si>
  <si>
    <t xml:space="preserve"> Sarpsborg 08 </t>
  </si>
  <si>
    <t xml:space="preserve"> Start </t>
  </si>
  <si>
    <t xml:space="preserve"> Tromso </t>
  </si>
  <si>
    <t xml:space="preserve"> Valerenga </t>
  </si>
  <si>
    <t xml:space="preserve"> Viking </t>
  </si>
  <si>
    <t xml:space="preserve"> Breidablik W </t>
  </si>
  <si>
    <t xml:space="preserve"> FH W </t>
  </si>
  <si>
    <t xml:space="preserve"> Fjardab H. W </t>
  </si>
  <si>
    <t xml:space="preserve"> Fram W </t>
  </si>
  <si>
    <t xml:space="preserve"> Stjarnan W </t>
  </si>
  <si>
    <t xml:space="preserve"> Thor/KA W </t>
  </si>
  <si>
    <t xml:space="preserve"> Throttur R. W </t>
  </si>
  <si>
    <t xml:space="preserve"> Tindastoll W </t>
  </si>
  <si>
    <t xml:space="preserve"> Valur R. W </t>
  </si>
  <si>
    <t xml:space="preserve"> Vikingur R. W </t>
  </si>
  <si>
    <t xml:space="preserve">Birmingham L. </t>
  </si>
  <si>
    <t xml:space="preserve"> Brooklyn FC </t>
  </si>
  <si>
    <t xml:space="preserve"> Charleston </t>
  </si>
  <si>
    <t xml:space="preserve"> Colorado S. </t>
  </si>
  <si>
    <t xml:space="preserve"> Detroit City </t>
  </si>
  <si>
    <t xml:space="preserve"> El Paso </t>
  </si>
  <si>
    <t xml:space="preserve"> FC Tulsa </t>
  </si>
  <si>
    <t xml:space="preserve"> Hartford A. </t>
  </si>
  <si>
    <t xml:space="preserve"> Indy Eleven </t>
  </si>
  <si>
    <t xml:space="preserve"> Las Vegas L. </t>
  </si>
  <si>
    <t xml:space="preserve"> Lexington </t>
  </si>
  <si>
    <t xml:space="preserve"> Loudoun Utd </t>
  </si>
  <si>
    <t xml:space="preserve"> Louisville City </t>
  </si>
  <si>
    <t xml:space="preserve"> Miami FC </t>
  </si>
  <si>
    <t xml:space="preserve"> Monterey Bay </t>
  </si>
  <si>
    <t xml:space="preserve"> New Mexico </t>
  </si>
  <si>
    <t xml:space="preserve"> Oakland Roots </t>
  </si>
  <si>
    <t xml:space="preserve"> Orange County </t>
  </si>
  <si>
    <t xml:space="preserve"> Phoenix Rising </t>
  </si>
  <si>
    <t xml:space="preserve"> Pittsburgh </t>
  </si>
  <si>
    <t xml:space="preserve"> Rhode Island </t>
  </si>
  <si>
    <t xml:space="preserve"> Sacramento R. </t>
  </si>
  <si>
    <t xml:space="preserve"> San Antonio </t>
  </si>
  <si>
    <t xml:space="preserve"> Sporting JAX </t>
  </si>
  <si>
    <t xml:space="preserve"> Tampa Bay </t>
  </si>
  <si>
    <t xml:space="preserve"> Dila Gori </t>
  </si>
  <si>
    <t xml:space="preserve"> Dinamo Batumi </t>
  </si>
  <si>
    <t xml:space="preserve"> Dinamo Tbilisi </t>
  </si>
  <si>
    <t xml:space="preserve"> Gagra </t>
  </si>
  <si>
    <t xml:space="preserve"> Iberia </t>
  </si>
  <si>
    <t xml:space="preserve"> Meshakhte </t>
  </si>
  <si>
    <t xml:space="preserve"> Rustavi </t>
  </si>
  <si>
    <t xml:space="preserve"> Samgurali </t>
  </si>
  <si>
    <t xml:space="preserve"> Spaeri </t>
  </si>
  <si>
    <t xml:space="preserve"> Torpedo Kutaisi </t>
  </si>
  <si>
    <t xml:space="preserve"> ADO Den Haag W </t>
  </si>
  <si>
    <t xml:space="preserve"> Breidablik </t>
  </si>
  <si>
    <t xml:space="preserve"> Fram </t>
  </si>
  <si>
    <t xml:space="preserve"> Hafnarfjordur </t>
  </si>
  <si>
    <t xml:space="preserve"> IA Akranes </t>
  </si>
  <si>
    <t xml:space="preserve"> IBV </t>
  </si>
  <si>
    <t xml:space="preserve"> KA Akureyri </t>
  </si>
  <si>
    <t xml:space="preserve"> Keflavik </t>
  </si>
  <si>
    <t xml:space="preserve"> KR Reykjavik </t>
  </si>
  <si>
    <t xml:space="preserve"> Stjarnan </t>
  </si>
  <si>
    <t xml:space="preserve"> Thor Akureyri </t>
  </si>
  <si>
    <t xml:space="preserve"> Valur </t>
  </si>
  <si>
    <t xml:space="preserve"> Vikingur R. </t>
  </si>
  <si>
    <t xml:space="preserve"> America MG </t>
  </si>
  <si>
    <t xml:space="preserve"> Athletic Club </t>
  </si>
  <si>
    <t xml:space="preserve"> Atletico GO </t>
  </si>
  <si>
    <t xml:space="preserve"> Avai </t>
  </si>
  <si>
    <t xml:space="preserve"> Botafogo SP </t>
  </si>
  <si>
    <t xml:space="preserve"> Ceara </t>
  </si>
  <si>
    <t xml:space="preserve"> CRB </t>
  </si>
  <si>
    <t xml:space="preserve"> Criciuma </t>
  </si>
  <si>
    <t xml:space="preserve"> Cuiaba </t>
  </si>
  <si>
    <t xml:space="preserve"> Fortaleza </t>
  </si>
  <si>
    <t xml:space="preserve"> Goias </t>
  </si>
  <si>
    <t xml:space="preserve"> Juventude </t>
  </si>
  <si>
    <t xml:space="preserve"> Londrina </t>
  </si>
  <si>
    <t xml:space="preserve"> Nautico </t>
  </si>
  <si>
    <t xml:space="preserve"> Novorizontino </t>
  </si>
  <si>
    <t xml:space="preserve"> Operario PR </t>
  </si>
  <si>
    <t xml:space="preserve"> Ponte Preta </t>
  </si>
  <si>
    <t xml:space="preserve"> Sao Bernardo </t>
  </si>
  <si>
    <t xml:space="preserve"> Sport Recife </t>
  </si>
  <si>
    <t xml:space="preserve"> Vila Nova </t>
  </si>
  <si>
    <t xml:space="preserve"> Borac Banja L. </t>
  </si>
  <si>
    <t xml:space="preserve"> FK Sarajevo </t>
  </si>
  <si>
    <t xml:space="preserve"> Posusje </t>
  </si>
  <si>
    <t xml:space="preserve"> R. Bijeljina </t>
  </si>
  <si>
    <t xml:space="preserve"> Rudar Prijedor </t>
  </si>
  <si>
    <t xml:space="preserve"> Siroki Brijeg </t>
  </si>
  <si>
    <t xml:space="preserve"> Sloga Doboj </t>
  </si>
  <si>
    <t xml:space="preserve"> Velez Mostar </t>
  </si>
  <si>
    <t xml:space="preserve"> Zeljeznicar </t>
  </si>
  <si>
    <t xml:space="preserve"> Zrinjski Mostar </t>
  </si>
  <si>
    <t xml:space="preserve"> Clarence Zebras </t>
  </si>
  <si>
    <t xml:space="preserve"> Devonport </t>
  </si>
  <si>
    <t xml:space="preserve"> Glenorchy K. </t>
  </si>
  <si>
    <t xml:space="preserve"> Kingborough L. </t>
  </si>
  <si>
    <t xml:space="preserve"> Launceston </t>
  </si>
  <si>
    <t xml:space="preserve"> Launceston Utd </t>
  </si>
  <si>
    <t xml:space="preserve"> Riverside </t>
  </si>
  <si>
    <t xml:space="preserve"> South East Utd </t>
  </si>
  <si>
    <t xml:space="preserve"> South Hobart </t>
  </si>
  <si>
    <t xml:space="preserve"> Ulverstone </t>
  </si>
  <si>
    <t xml:space="preserve"> Sturt Lions </t>
  </si>
  <si>
    <t xml:space="preserve"> West Adelaide </t>
  </si>
  <si>
    <t xml:space="preserve"> Beijing IT </t>
  </si>
  <si>
    <t xml:space="preserve"> C. Rongcheng B </t>
  </si>
  <si>
    <t xml:space="preserve"> Changchun Xidu </t>
  </si>
  <si>
    <t xml:space="preserve"> Dalian Kewei </t>
  </si>
  <si>
    <t xml:space="preserve"> Dalian Yingbo B </t>
  </si>
  <si>
    <t xml:space="preserve"> G. Dandelion </t>
  </si>
  <si>
    <t xml:space="preserve"> G. Zhucheng </t>
  </si>
  <si>
    <t xml:space="preserve"> Ganzhou Ruishi </t>
  </si>
  <si>
    <t xml:space="preserve"> Guangdong M. </t>
  </si>
  <si>
    <t xml:space="preserve"> Hangzhou Linpin </t>
  </si>
  <si>
    <t xml:space="preserve"> Hubei Istar </t>
  </si>
  <si>
    <t xml:space="preserve"> Jiangxi Lushan </t>
  </si>
  <si>
    <t xml:space="preserve"> L. Longyuan </t>
  </si>
  <si>
    <t xml:space="preserve"> Nantong Haimen  </t>
  </si>
  <si>
    <t xml:space="preserve"> Qingdao RL </t>
  </si>
  <si>
    <t xml:space="preserve"> Shandong T. B </t>
  </si>
  <si>
    <t xml:space="preserve"> Shanghai Port B </t>
  </si>
  <si>
    <t xml:space="preserve"> Shanghai Segend </t>
  </si>
  <si>
    <t xml:space="preserve"> Shanxi Ronghai </t>
  </si>
  <si>
    <t xml:space="preserve"> Shenzhen 2028 </t>
  </si>
  <si>
    <t xml:space="preserve"> Taian Tiankuang </t>
  </si>
  <si>
    <t xml:space="preserve"> Wenzhou Pro. </t>
  </si>
  <si>
    <t xml:space="preserve"> Wuhan TT B </t>
  </si>
  <si>
    <t xml:space="preserve"> Xiamen Feilu </t>
  </si>
  <si>
    <t xml:space="preserve">Ansan Greeners </t>
  </si>
  <si>
    <t xml:space="preserve"> AIK </t>
  </si>
  <si>
    <t xml:space="preserve"> Brommapojkarna </t>
  </si>
  <si>
    <t xml:space="preserve"> Degerfors </t>
  </si>
  <si>
    <t xml:space="preserve"> Djurgarden </t>
  </si>
  <si>
    <t xml:space="preserve"> Elfsborg </t>
  </si>
  <si>
    <t xml:space="preserve"> GAIS </t>
  </si>
  <si>
    <t xml:space="preserve"> Hacken </t>
  </si>
  <si>
    <t xml:space="preserve"> Halmstad </t>
  </si>
  <si>
    <t xml:space="preserve"> Hammarby </t>
  </si>
  <si>
    <t xml:space="preserve"> IFK Goteborg </t>
  </si>
  <si>
    <t xml:space="preserve"> Kalmar </t>
  </si>
  <si>
    <t xml:space="preserve"> Malmo FF </t>
  </si>
  <si>
    <t xml:space="preserve"> Mjallby </t>
  </si>
  <si>
    <t xml:space="preserve"> Orgryte </t>
  </si>
  <si>
    <t xml:space="preserve"> Sirius </t>
  </si>
  <si>
    <t xml:space="preserve"> Vasteras </t>
  </si>
  <si>
    <t xml:space="preserve"> AFC Eskilstuna </t>
  </si>
  <si>
    <t xml:space="preserve"> Arlanda </t>
  </si>
  <si>
    <t xml:space="preserve"> Assyriska </t>
  </si>
  <si>
    <t xml:space="preserve"> Enkoping </t>
  </si>
  <si>
    <t xml:space="preserve"> FBK Karlstad </t>
  </si>
  <si>
    <t xml:space="preserve"> Gefle </t>
  </si>
  <si>
    <t xml:space="preserve"> Hammarby Talang </t>
  </si>
  <si>
    <t xml:space="preserve"> Jarfalla </t>
  </si>
  <si>
    <t xml:space="preserve"> Karlberg </t>
  </si>
  <si>
    <t xml:space="preserve"> Karlstad </t>
  </si>
  <si>
    <t xml:space="preserve"> Pitea </t>
  </si>
  <si>
    <t xml:space="preserve"> Sollentuna </t>
  </si>
  <si>
    <t xml:space="preserve"> Stockholm Inter </t>
  </si>
  <si>
    <t xml:space="preserve"> Stocksund </t>
  </si>
  <si>
    <t xml:space="preserve"> Umea </t>
  </si>
  <si>
    <t xml:space="preserve"> Vasalund </t>
  </si>
  <si>
    <t xml:space="preserve"> Angelholm </t>
  </si>
  <si>
    <t xml:space="preserve"> Ariana </t>
  </si>
  <si>
    <t xml:space="preserve"> Atvidaberg </t>
  </si>
  <si>
    <t xml:space="preserve"> Eskilsminne </t>
  </si>
  <si>
    <t xml:space="preserve"> Hassleholms IF </t>
  </si>
  <si>
    <t xml:space="preserve"> Jonkopings </t>
  </si>
  <si>
    <t xml:space="preserve"> Kristianstad </t>
  </si>
  <si>
    <t xml:space="preserve"> Laholm </t>
  </si>
  <si>
    <t xml:space="preserve"> Lund </t>
  </si>
  <si>
    <t xml:space="preserve"> Olympic </t>
  </si>
  <si>
    <t xml:space="preserve"> Rosengard </t>
  </si>
  <si>
    <t xml:space="preserve"> Skovde AIK </t>
  </si>
  <si>
    <t xml:space="preserve"> Trelleborg </t>
  </si>
  <si>
    <t xml:space="preserve"> Trollhattan </t>
  </si>
  <si>
    <t xml:space="preserve"> Tvaaker </t>
  </si>
  <si>
    <t xml:space="preserve"> Utsikten </t>
  </si>
  <si>
    <t xml:space="preserve"> Ahlafors </t>
  </si>
  <si>
    <t xml:space="preserve"> Grebbestad </t>
  </si>
  <si>
    <t xml:space="preserve"> Herrestads </t>
  </si>
  <si>
    <t xml:space="preserve"> Husqvarna </t>
  </si>
  <si>
    <t xml:space="preserve"> IF Karlstad B </t>
  </si>
  <si>
    <t xml:space="preserve"> IFK Skovde </t>
  </si>
  <si>
    <t xml:space="preserve"> Kumla </t>
  </si>
  <si>
    <t xml:space="preserve"> Lidkoping </t>
  </si>
  <si>
    <t xml:space="preserve"> Motala </t>
  </si>
  <si>
    <t xml:space="preserve"> Skara </t>
  </si>
  <si>
    <t xml:space="preserve"> Stenungsund </t>
  </si>
  <si>
    <t xml:space="preserve"> Tord </t>
  </si>
  <si>
    <t xml:space="preserve"> VFK </t>
  </si>
  <si>
    <t xml:space="preserve"> VIF </t>
  </si>
  <si>
    <t xml:space="preserve"> ADO 20 </t>
  </si>
  <si>
    <t xml:space="preserve"> DOVO </t>
  </si>
  <si>
    <t xml:space="preserve"> DVS 33 </t>
  </si>
  <si>
    <t xml:space="preserve"> Eemdijk </t>
  </si>
  <si>
    <t xml:space="preserve"> Excelsior 31 </t>
  </si>
  <si>
    <t xml:space="preserve"> Genemuiden </t>
  </si>
  <si>
    <t xml:space="preserve"> Harkemase Boys </t>
  </si>
  <si>
    <t xml:space="preserve"> Hoogeveen </t>
  </si>
  <si>
    <t xml:space="preserve"> HSC 21 </t>
  </si>
  <si>
    <t xml:space="preserve"> Huizen </t>
  </si>
  <si>
    <t xml:space="preserve"> Raalte </t>
  </si>
  <si>
    <t xml:space="preserve"> Sparta Nijkerk </t>
  </si>
  <si>
    <t xml:space="preserve"> Sportlust </t>
  </si>
  <si>
    <t xml:space="preserve"> Staphorst </t>
  </si>
  <si>
    <t xml:space="preserve"> TEC </t>
  </si>
  <si>
    <t xml:space="preserve"> Urk </t>
  </si>
  <si>
    <t xml:space="preserve"> USV Hercules </t>
  </si>
  <si>
    <t xml:space="preserve"> VV Scherpenzeel </t>
  </si>
  <si>
    <t xml:space="preserve"> A. Ottawa </t>
  </si>
  <si>
    <t xml:space="preserve"> Cavalry </t>
  </si>
  <si>
    <t xml:space="preserve"> Forge </t>
  </si>
  <si>
    <t xml:space="preserve"> HFX Wanderers </t>
  </si>
  <si>
    <t xml:space="preserve"> Pacific </t>
  </si>
  <si>
    <t xml:space="preserve"> Supra du Quebec </t>
  </si>
  <si>
    <t xml:space="preserve"> Vancouver FC </t>
  </si>
  <si>
    <t xml:space="preserve"> York Utd </t>
  </si>
  <si>
    <t xml:space="preserve"> AC Boise </t>
  </si>
  <si>
    <t xml:space="preserve"> Alta </t>
  </si>
  <si>
    <t xml:space="preserve"> Charlotte I. </t>
  </si>
  <si>
    <t xml:space="preserve"> Chattanooga RW </t>
  </si>
  <si>
    <t xml:space="preserve"> Corpus Christi </t>
  </si>
  <si>
    <t xml:space="preserve"> Fort Wayne </t>
  </si>
  <si>
    <t xml:space="preserve"> Greenville </t>
  </si>
  <si>
    <t xml:space="preserve"> Naples </t>
  </si>
  <si>
    <t xml:space="preserve"> NY Cosmos </t>
  </si>
  <si>
    <t xml:space="preserve"> One Knoxville </t>
  </si>
  <si>
    <t xml:space="preserve"> Portland Hearts </t>
  </si>
  <si>
    <t xml:space="preserve"> Richmond K. </t>
  </si>
  <si>
    <t xml:space="preserve"> Sarasota P. </t>
  </si>
  <si>
    <t xml:space="preserve"> Spokane V. </t>
  </si>
  <si>
    <t xml:space="preserve"> Union Omaha </t>
  </si>
  <si>
    <t xml:space="preserve"> Westchester SC </t>
  </si>
  <si>
    <t xml:space="preserve">Altona Magic </t>
  </si>
  <si>
    <t xml:space="preserve"> Aragvi Dusheti </t>
  </si>
  <si>
    <t xml:space="preserve"> Bolnisi </t>
  </si>
  <si>
    <t xml:space="preserve"> Gareji Sagarejo </t>
  </si>
  <si>
    <t xml:space="preserve"> Gori </t>
  </si>
  <si>
    <t xml:space="preserve"> Kolkheti Poti </t>
  </si>
  <si>
    <t xml:space="preserve"> Merani Martvili </t>
  </si>
  <si>
    <t xml:space="preserve"> Odishi 1919 </t>
  </si>
  <si>
    <t xml:space="preserve"> Samtredia </t>
  </si>
  <si>
    <t xml:space="preserve"> Shturmi </t>
  </si>
  <si>
    <t xml:space="preserve"> Telavi </t>
  </si>
  <si>
    <t xml:space="preserve">Budaors W </t>
  </si>
  <si>
    <t xml:space="preserve"> Ekenas IF </t>
  </si>
  <si>
    <t xml:space="preserve"> Haka </t>
  </si>
  <si>
    <t xml:space="preserve"> JaPS </t>
  </si>
  <si>
    <t xml:space="preserve"> JIPPO </t>
  </si>
  <si>
    <t xml:space="preserve"> KaPa </t>
  </si>
  <si>
    <t xml:space="preserve"> Klubi-04 </t>
  </si>
  <si>
    <t xml:space="preserve"> KTP </t>
  </si>
  <si>
    <t xml:space="preserve"> Mikkelin </t>
  </si>
  <si>
    <t xml:space="preserve"> PK-35 </t>
  </si>
  <si>
    <t xml:space="preserve"> SJK Akatemia </t>
  </si>
  <si>
    <t xml:space="preserve">A. Quilmes </t>
  </si>
  <si>
    <t xml:space="preserve"> AIK W </t>
  </si>
  <si>
    <t xml:space="preserve"> Brommapojk. W  </t>
  </si>
  <si>
    <t xml:space="preserve"> Djurgarden W </t>
  </si>
  <si>
    <t xml:space="preserve"> Eskilstuna U. W </t>
  </si>
  <si>
    <t xml:space="preserve"> Hacken W </t>
  </si>
  <si>
    <t xml:space="preserve"> Hammarby W </t>
  </si>
  <si>
    <t xml:space="preserve"> Kristianstads W </t>
  </si>
  <si>
    <t xml:space="preserve"> Malmo FF W </t>
  </si>
  <si>
    <t xml:space="preserve"> Norrkoping W </t>
  </si>
  <si>
    <t xml:space="preserve"> Pitea W </t>
  </si>
  <si>
    <t xml:space="preserve"> Rosengard W </t>
  </si>
  <si>
    <t xml:space="preserve"> Uppsala W </t>
  </si>
  <si>
    <t xml:space="preserve"> Vaxjo W </t>
  </si>
  <si>
    <t xml:space="preserve"> Vittsjo W </t>
  </si>
  <si>
    <t xml:space="preserve"> Inter Turku B </t>
  </si>
  <si>
    <t xml:space="preserve"> Jazz Pori </t>
  </si>
  <si>
    <t xml:space="preserve"> JJK </t>
  </si>
  <si>
    <t xml:space="preserve"> KPV Kokkola </t>
  </si>
  <si>
    <t xml:space="preserve"> KuPS Ak. </t>
  </si>
  <si>
    <t xml:space="preserve"> OLS Oulu </t>
  </si>
  <si>
    <t xml:space="preserve"> PKKU </t>
  </si>
  <si>
    <t xml:space="preserve"> Rovaniemi </t>
  </si>
  <si>
    <t xml:space="preserve"> SalPa </t>
  </si>
  <si>
    <t xml:space="preserve"> Tampere Utd </t>
  </si>
  <si>
    <t xml:space="preserve"> TPV </t>
  </si>
  <si>
    <t xml:space="preserve"> VJS </t>
  </si>
  <si>
    <t xml:space="preserve">Ekenas IF </t>
  </si>
  <si>
    <t xml:space="preserve"> Arsenal D. </t>
  </si>
  <si>
    <t xml:space="preserve"> Baranovichi </t>
  </si>
  <si>
    <t xml:space="preserve"> BATE Borisov </t>
  </si>
  <si>
    <t xml:space="preserve"> Belshina </t>
  </si>
  <si>
    <t xml:space="preserve"> Dinamo Brest </t>
  </si>
  <si>
    <t xml:space="preserve"> Dinamo Minsk </t>
  </si>
  <si>
    <t xml:space="preserve"> Dnepr Mogilev </t>
  </si>
  <si>
    <t xml:space="preserve"> FC Minsk </t>
  </si>
  <si>
    <t xml:space="preserve"> Gomel </t>
  </si>
  <si>
    <t xml:space="preserve"> Isloch </t>
  </si>
  <si>
    <t xml:space="preserve"> ML Vitebsk </t>
  </si>
  <si>
    <t xml:space="preserve"> Naftan </t>
  </si>
  <si>
    <t xml:space="preserve"> Neman Grodno </t>
  </si>
  <si>
    <t xml:space="preserve"> Slavia Mozyr </t>
  </si>
  <si>
    <t xml:space="preserve"> T. Zhodino </t>
  </si>
  <si>
    <t xml:space="preserve"> Vitebsk </t>
  </si>
  <si>
    <t xml:space="preserve"> Grindavik.N. W </t>
  </si>
  <si>
    <t xml:space="preserve"> IBV W </t>
  </si>
  <si>
    <t xml:space="preserve"> Thor.KA W </t>
  </si>
  <si>
    <t xml:space="preserve">Angel City W </t>
  </si>
  <si>
    <t xml:space="preserve"> Bay FC W </t>
  </si>
  <si>
    <t xml:space="preserve"> Boston Legacy W </t>
  </si>
  <si>
    <t xml:space="preserve"> Chicago RS W </t>
  </si>
  <si>
    <t xml:space="preserve"> Denver Summit W </t>
  </si>
  <si>
    <t xml:space="preserve"> Gotham FC W </t>
  </si>
  <si>
    <t xml:space="preserve"> Houston Dash W </t>
  </si>
  <si>
    <t xml:space="preserve"> KC Current W </t>
  </si>
  <si>
    <t xml:space="preserve"> N. Carolina W </t>
  </si>
  <si>
    <t xml:space="preserve"> Orlando Pride W </t>
  </si>
  <si>
    <t xml:space="preserve"> Portland T. W </t>
  </si>
  <si>
    <t xml:space="preserve"> R. Louisville W </t>
  </si>
  <si>
    <t xml:space="preserve"> San Diego W. W </t>
  </si>
  <si>
    <t xml:space="preserve"> Seattle Reign W </t>
  </si>
  <si>
    <t xml:space="preserve"> Utah Royals W </t>
  </si>
  <si>
    <t xml:space="preserve"> Washington S. W </t>
  </si>
  <si>
    <t xml:space="preserve"> Adamstown R. </t>
  </si>
  <si>
    <t xml:space="preserve"> Belmont Swansea </t>
  </si>
  <si>
    <t xml:space="preserve"> Broadmeadow </t>
  </si>
  <si>
    <t xml:space="preserve"> Charlestown A. </t>
  </si>
  <si>
    <t xml:space="preserve"> Cooks Hill Utd </t>
  </si>
  <si>
    <t xml:space="preserve"> Edgeworth E. </t>
  </si>
  <si>
    <t xml:space="preserve"> Kahibah </t>
  </si>
  <si>
    <t xml:space="preserve"> Lambton Jaffas </t>
  </si>
  <si>
    <t xml:space="preserve"> Maitland </t>
  </si>
  <si>
    <t xml:space="preserve"> Newcastle O. </t>
  </si>
  <si>
    <t xml:space="preserve"> Valentine </t>
  </si>
  <si>
    <t xml:space="preserve"> Weston Bears </t>
  </si>
  <si>
    <t xml:space="preserve"> Brisbane City </t>
  </si>
  <si>
    <t xml:space="preserve"> Brisbane Roar B </t>
  </si>
  <si>
    <t xml:space="preserve"> Eastern Suburbs </t>
  </si>
  <si>
    <t xml:space="preserve"> Gold C. Knights </t>
  </si>
  <si>
    <t xml:space="preserve"> Gold C. Utd </t>
  </si>
  <si>
    <t xml:space="preserve"> Magic United </t>
  </si>
  <si>
    <t xml:space="preserve"> Moreton City E. </t>
  </si>
  <si>
    <t xml:space="preserve"> Olympic FC </t>
  </si>
  <si>
    <t xml:space="preserve"> Peninsula </t>
  </si>
  <si>
    <t xml:space="preserve"> Q. Lions </t>
  </si>
  <si>
    <t xml:space="preserve"> Rochedale </t>
  </si>
  <si>
    <t xml:space="preserve"> Wynnum Wolves </t>
  </si>
  <si>
    <t xml:space="preserve"> Belconnen Utd </t>
  </si>
  <si>
    <t xml:space="preserve"> Brindabella Blu </t>
  </si>
  <si>
    <t xml:space="preserve"> C. Croatia </t>
  </si>
  <si>
    <t xml:space="preserve"> C. Olympic </t>
  </si>
  <si>
    <t xml:space="preserve"> Canberra White  </t>
  </si>
  <si>
    <t xml:space="preserve"> Gungahlin Juven </t>
  </si>
  <si>
    <t xml:space="preserve"> Monaro Panthers </t>
  </si>
  <si>
    <t xml:space="preserve"> OConnor Knight </t>
  </si>
  <si>
    <t xml:space="preserve"> Queanbeyan City </t>
  </si>
  <si>
    <t xml:space="preserve"> Tigers FC </t>
  </si>
  <si>
    <t xml:space="preserve"> Tuggeranong Utd </t>
  </si>
  <si>
    <t>https://www.facebook.com/share/v/1EAonUQFtM/</t>
  </si>
  <si>
    <t xml:space="preserve">Changnyeong W </t>
  </si>
  <si>
    <t xml:space="preserve"> Gyeongju W </t>
  </si>
  <si>
    <t xml:space="preserve"> Hwacheon W </t>
  </si>
  <si>
    <t xml:space="preserve"> Incheon W </t>
  </si>
  <si>
    <t xml:space="preserve"> Mungyeong W </t>
  </si>
  <si>
    <t xml:space="preserve"> Sejong W </t>
  </si>
  <si>
    <t xml:space="preserve"> Seoul W </t>
  </si>
  <si>
    <t xml:space="preserve"> Suwon FMC W </t>
  </si>
  <si>
    <t xml:space="preserve"> Changnyeong W </t>
  </si>
  <si>
    <t xml:space="preserve"> Eidsvold </t>
  </si>
  <si>
    <t xml:space="preserve"> Follo </t>
  </si>
  <si>
    <t xml:space="preserve"> Grorud </t>
  </si>
  <si>
    <t xml:space="preserve"> Honefoss </t>
  </si>
  <si>
    <t xml:space="preserve"> Junkeren </t>
  </si>
  <si>
    <t xml:space="preserve"> Kjelsas </t>
  </si>
  <si>
    <t xml:space="preserve"> Levanger </t>
  </si>
  <si>
    <t xml:space="preserve"> Lorenskog </t>
  </si>
  <si>
    <t xml:space="preserve"> Rana </t>
  </si>
  <si>
    <t xml:space="preserve"> Skeid </t>
  </si>
  <si>
    <t xml:space="preserve"> Stjordals-Blink </t>
  </si>
  <si>
    <t xml:space="preserve"> Tromsdalen </t>
  </si>
  <si>
    <t xml:space="preserve"> Trygg.Lade </t>
  </si>
  <si>
    <t xml:space="preserve"> Ull.Kisa </t>
  </si>
  <si>
    <t xml:space="preserve">Ahrobiznes V. </t>
  </si>
  <si>
    <t xml:space="preserve">Brunswick City </t>
  </si>
  <si>
    <t xml:space="preserve"> Brunswick Juven </t>
  </si>
  <si>
    <t xml:space="preserve"> Bulleen </t>
  </si>
  <si>
    <t xml:space="preserve"> Eltham Redbacks </t>
  </si>
  <si>
    <t xml:space="preserve"> Langwarrin </t>
  </si>
  <si>
    <t xml:space="preserve"> M. Srbija </t>
  </si>
  <si>
    <t xml:space="preserve"> M. Victory B </t>
  </si>
  <si>
    <t xml:space="preserve"> Manningham Utd </t>
  </si>
  <si>
    <t xml:space="preserve"> Melbourne K. </t>
  </si>
  <si>
    <t xml:space="preserve"> North Geelong </t>
  </si>
  <si>
    <t xml:space="preserve"> North Sunshine  </t>
  </si>
  <si>
    <t xml:space="preserve"> Northcote City </t>
  </si>
  <si>
    <t xml:space="preserve"> Port Melbourne </t>
  </si>
  <si>
    <t xml:space="preserve"> Western Utd B </t>
  </si>
  <si>
    <t xml:space="preserve"> Bossekop </t>
  </si>
  <si>
    <t xml:space="preserve"> Fauske/Sprint </t>
  </si>
  <si>
    <t xml:space="preserve"> Finnsnes </t>
  </si>
  <si>
    <t xml:space="preserve"> Floya </t>
  </si>
  <si>
    <t xml:space="preserve"> Harstad </t>
  </si>
  <si>
    <t xml:space="preserve"> Kongsvinger B </t>
  </si>
  <si>
    <t xml:space="preserve"> Lillestrom B </t>
  </si>
  <si>
    <t xml:space="preserve"> Skedsmo </t>
  </si>
  <si>
    <t xml:space="preserve"> Skjervoy </t>
  </si>
  <si>
    <t xml:space="preserve"> Skjetten </t>
  </si>
  <si>
    <t xml:space="preserve"> Stromsgodset B </t>
  </si>
  <si>
    <t xml:space="preserve"> Tromso B </t>
  </si>
  <si>
    <t xml:space="preserve"> Ulfstind </t>
  </si>
  <si>
    <t xml:space="preserve"> Asane B </t>
  </si>
  <si>
    <t xml:space="preserve"> Askøy </t>
  </si>
  <si>
    <t xml:space="preserve"> Austevoll </t>
  </si>
  <si>
    <t xml:space="preserve"> Brann B </t>
  </si>
  <si>
    <t xml:space="preserve"> Djerv </t>
  </si>
  <si>
    <t xml:space="preserve"> Fana </t>
  </si>
  <si>
    <t xml:space="preserve"> Forde </t>
  </si>
  <si>
    <t xml:space="preserve"> Fyllingsdalen </t>
  </si>
  <si>
    <t xml:space="preserve"> Gneist </t>
  </si>
  <si>
    <t xml:space="preserve"> OS </t>
  </si>
  <si>
    <t xml:space="preserve"> Sogndal B </t>
  </si>
  <si>
    <t xml:space="preserve"> Stord </t>
  </si>
  <si>
    <t xml:space="preserve"> V. Haugesund </t>
  </si>
  <si>
    <t xml:space="preserve"> Varegg </t>
  </si>
  <si>
    <t xml:space="preserve">Angelholm </t>
  </si>
  <si>
    <t xml:space="preserve">Asane B </t>
  </si>
  <si>
    <t xml:space="preserve"> Bischofshofen </t>
  </si>
  <si>
    <t xml:space="preserve"> Dornbirn </t>
  </si>
  <si>
    <t xml:space="preserve"> Hohenems </t>
  </si>
  <si>
    <t xml:space="preserve"> Imst </t>
  </si>
  <si>
    <t xml:space="preserve"> Kitzbuhel </t>
  </si>
  <si>
    <t xml:space="preserve"> Kuchl </t>
  </si>
  <si>
    <t xml:space="preserve"> Kufstein </t>
  </si>
  <si>
    <t xml:space="preserve"> Lauterach </t>
  </si>
  <si>
    <t xml:space="preserve"> Lustenau </t>
  </si>
  <si>
    <t xml:space="preserve"> R. Altach B </t>
  </si>
  <si>
    <t xml:space="preserve"> Reichenau </t>
  </si>
  <si>
    <t xml:space="preserve"> Saalfelden </t>
  </si>
  <si>
    <t xml:space="preserve"> Schwaz </t>
  </si>
  <si>
    <t xml:space="preserve"> Seekirchen </t>
  </si>
  <si>
    <t xml:space="preserve"> TSV St. Johann </t>
  </si>
  <si>
    <t xml:space="preserve"> W. Innsbruck </t>
  </si>
  <si>
    <t xml:space="preserve"> Wals-Grunau </t>
  </si>
  <si>
    <t xml:space="preserve"> Boden </t>
  </si>
  <si>
    <t xml:space="preserve"> Fransta </t>
  </si>
  <si>
    <t xml:space="preserve"> Friska Viljor </t>
  </si>
  <si>
    <t xml:space="preserve"> Gottne IF </t>
  </si>
  <si>
    <t xml:space="preserve"> IFK Lulea </t>
  </si>
  <si>
    <t xml:space="preserve"> IFK Ostersund </t>
  </si>
  <si>
    <t xml:space="preserve"> IFK Umea </t>
  </si>
  <si>
    <t xml:space="preserve"> Kubikenborg </t>
  </si>
  <si>
    <t xml:space="preserve"> Lucksta </t>
  </si>
  <si>
    <t xml:space="preserve"> Skelleftea </t>
  </si>
  <si>
    <t xml:space="preserve"> Storfors </t>
  </si>
  <si>
    <t xml:space="preserve"> Taftea </t>
  </si>
  <si>
    <t xml:space="preserve"> Team TG </t>
  </si>
  <si>
    <t xml:space="preserve"> Umea FC </t>
  </si>
  <si>
    <t xml:space="preserve"> Berga </t>
  </si>
  <si>
    <t xml:space="preserve"> IFK Trelleborg </t>
  </si>
  <si>
    <t xml:space="preserve"> Karlshamn </t>
  </si>
  <si>
    <t xml:space="preserve"> Karlskrona </t>
  </si>
  <si>
    <t xml:space="preserve"> Lilla Torg </t>
  </si>
  <si>
    <t xml:space="preserve"> Linero </t>
  </si>
  <si>
    <t xml:space="preserve"> Nosaby </t>
  </si>
  <si>
    <t xml:space="preserve"> Oskarshamns </t>
  </si>
  <si>
    <t xml:space="preserve"> Osterlen </t>
  </si>
  <si>
    <t xml:space="preserve"> Rappe </t>
  </si>
  <si>
    <t xml:space="preserve"> Solvesborg </t>
  </si>
  <si>
    <t xml:space="preserve"> Staffanstorp Un </t>
  </si>
  <si>
    <t xml:space="preserve"> Torns </t>
  </si>
  <si>
    <t xml:space="preserve"> Vaxjo Norra </t>
  </si>
  <si>
    <t xml:space="preserve"> GBK Kokkola </t>
  </si>
  <si>
    <t xml:space="preserve"> Huima/Urho </t>
  </si>
  <si>
    <t xml:space="preserve"> Jaro II </t>
  </si>
  <si>
    <t xml:space="preserve"> JBK </t>
  </si>
  <si>
    <t xml:space="preserve"> JS Hercules </t>
  </si>
  <si>
    <t xml:space="preserve"> Narpes Kraft </t>
  </si>
  <si>
    <t xml:space="preserve"> SJK Akatemia B </t>
  </si>
  <si>
    <t xml:space="preserve"> TP-47 </t>
  </si>
  <si>
    <t xml:space="preserve"> Vaajakoski </t>
  </si>
  <si>
    <t xml:space="preserve"> VPS B </t>
  </si>
  <si>
    <t xml:space="preserve"> Atmosfera </t>
  </si>
  <si>
    <t xml:space="preserve"> Babrungas </t>
  </si>
  <si>
    <t xml:space="preserve"> Be1 NFA </t>
  </si>
  <si>
    <t xml:space="preserve"> BFA Vilnius </t>
  </si>
  <si>
    <t xml:space="preserve"> Dainava </t>
  </si>
  <si>
    <t xml:space="preserve"> Ekranas </t>
  </si>
  <si>
    <t xml:space="preserve"> Garliava </t>
  </si>
  <si>
    <t xml:space="preserve"> Hegelmann B </t>
  </si>
  <si>
    <t xml:space="preserve"> Jonava </t>
  </si>
  <si>
    <t xml:space="preserve"> Kauno Z. B </t>
  </si>
  <si>
    <t xml:space="preserve"> Minija </t>
  </si>
  <si>
    <t xml:space="preserve"> Neptuna K. </t>
  </si>
  <si>
    <t xml:space="preserve"> Siauliai B </t>
  </si>
  <si>
    <t xml:space="preserve"> Tauras </t>
  </si>
  <si>
    <t xml:space="preserve"> TransINVEST Vil </t>
  </si>
  <si>
    <t xml:space="preserve"> Zalgiris B </t>
  </si>
  <si>
    <t xml:space="preserve"> Astorps FF </t>
  </si>
  <si>
    <t xml:space="preserve"> Astrio </t>
  </si>
  <si>
    <t xml:space="preserve"> Boljan </t>
  </si>
  <si>
    <t xml:space="preserve"> Dalstorps </t>
  </si>
  <si>
    <t xml:space="preserve"> Galtabäcks </t>
  </si>
  <si>
    <t xml:space="preserve"> Hestrafor </t>
  </si>
  <si>
    <t xml:space="preserve"> Jonsered </t>
  </si>
  <si>
    <t xml:space="preserve"> Kongahalla </t>
  </si>
  <si>
    <t xml:space="preserve"> Landvetter </t>
  </si>
  <si>
    <t xml:space="preserve"> Lindome </t>
  </si>
  <si>
    <t xml:space="preserve"> Onsala </t>
  </si>
  <si>
    <t xml:space="preserve"> Qviding </t>
  </si>
  <si>
    <t xml:space="preserve"> Torslanda </t>
  </si>
  <si>
    <t xml:space="preserve"> Vastra Frolunda </t>
  </si>
  <si>
    <t xml:space="preserve"> Aeggir </t>
  </si>
  <si>
    <t xml:space="preserve"> Afturelding </t>
  </si>
  <si>
    <t xml:space="preserve"> Fylkir </t>
  </si>
  <si>
    <t xml:space="preserve"> Grindavik </t>
  </si>
  <si>
    <t xml:space="preserve"> Grotta </t>
  </si>
  <si>
    <t xml:space="preserve"> HK Kopavogur </t>
  </si>
  <si>
    <t xml:space="preserve"> IR Reykjavik </t>
  </si>
  <si>
    <t xml:space="preserve"> Leiknir R. </t>
  </si>
  <si>
    <t xml:space="preserve"> Njardvik </t>
  </si>
  <si>
    <t xml:space="preserve"> Throttur R. </t>
  </si>
  <si>
    <t xml:space="preserve"> Vestri </t>
  </si>
  <si>
    <t xml:space="preserve"> Volsungur </t>
  </si>
  <si>
    <t xml:space="preserve">Dalvik.Reynir </t>
  </si>
  <si>
    <t xml:space="preserve"> Fjolnir </t>
  </si>
  <si>
    <t xml:space="preserve"> Haukar </t>
  </si>
  <si>
    <t xml:space="preserve"> Hviti Riddarinn </t>
  </si>
  <si>
    <t xml:space="preserve"> Kari </t>
  </si>
  <si>
    <t xml:space="preserve"> KFA </t>
  </si>
  <si>
    <t xml:space="preserve"> KFG </t>
  </si>
  <si>
    <t xml:space="preserve"> Kormakur/Hvot </t>
  </si>
  <si>
    <t xml:space="preserve"> Magni </t>
  </si>
  <si>
    <t xml:space="preserve"> Selfoss </t>
  </si>
  <si>
    <t xml:space="preserve"> Throttur Vogar </t>
  </si>
  <si>
    <t xml:space="preserve"> V. Olafsvik </t>
  </si>
  <si>
    <t xml:space="preserve">Manly Utd </t>
  </si>
  <si>
    <t xml:space="preserve"> Binh Duong </t>
  </si>
  <si>
    <t xml:space="preserve"> Ängby </t>
  </si>
  <si>
    <t xml:space="preserve"> Bollstanas </t>
  </si>
  <si>
    <t xml:space="preserve"> Enskede </t>
  </si>
  <si>
    <t xml:space="preserve"> Falu BS </t>
  </si>
  <si>
    <t xml:space="preserve"> Franke </t>
  </si>
  <si>
    <t xml:space="preserve"> Gute </t>
  </si>
  <si>
    <t xml:space="preserve"> Helges </t>
  </si>
  <si>
    <t xml:space="preserve"> Korsnas IF </t>
  </si>
  <si>
    <t xml:space="preserve"> Kungsangen </t>
  </si>
  <si>
    <t xml:space="preserve"> Lidingo </t>
  </si>
  <si>
    <t xml:space="preserve"> Skiljebo </t>
  </si>
  <si>
    <t xml:space="preserve"> Sunnersta </t>
  </si>
  <si>
    <t xml:space="preserve"> Taby </t>
  </si>
  <si>
    <t xml:space="preserve"> Viggbyholms </t>
  </si>
  <si>
    <t xml:space="preserve"> Baumberg </t>
  </si>
  <si>
    <t xml:space="preserve"> Biemenhorst </t>
  </si>
  <si>
    <t xml:space="preserve"> Blau-W. Dingden </t>
  </si>
  <si>
    <t xml:space="preserve"> Buderich </t>
  </si>
  <si>
    <t xml:space="preserve"> G. Ratingen </t>
  </si>
  <si>
    <t xml:space="preserve"> Hilden </t>
  </si>
  <si>
    <t xml:space="preserve"> Holzheimer SG </t>
  </si>
  <si>
    <t xml:space="preserve"> Homberg </t>
  </si>
  <si>
    <t xml:space="preserve"> Juchen-G. </t>
  </si>
  <si>
    <t xml:space="preserve"> Kleve </t>
  </si>
  <si>
    <t xml:space="preserve"> Meerbusch </t>
  </si>
  <si>
    <t xml:space="preserve"> Monheim </t>
  </si>
  <si>
    <t xml:space="preserve"> SC St. Tonis </t>
  </si>
  <si>
    <t xml:space="preserve"> Schonnebeck </t>
  </si>
  <si>
    <t xml:space="preserve"> Sonsbeck </t>
  </si>
  <si>
    <t xml:space="preserve"> SW Essen </t>
  </si>
  <si>
    <t xml:space="preserve"> Uerdingen </t>
  </si>
  <si>
    <t xml:space="preserve"> Union Frintrop </t>
  </si>
  <si>
    <t xml:space="preserve"> Eker Orebro </t>
  </si>
  <si>
    <t xml:space="preserve"> Farsta </t>
  </si>
  <si>
    <t xml:space="preserve"> Fittja IF </t>
  </si>
  <si>
    <t xml:space="preserve"> Forward </t>
  </si>
  <si>
    <t xml:space="preserve"> Haninge </t>
  </si>
  <si>
    <t xml:space="preserve"> Karlslund </t>
  </si>
  <si>
    <t xml:space="preserve"> Lindo FF </t>
  </si>
  <si>
    <t xml:space="preserve"> Nacka Iliria </t>
  </si>
  <si>
    <t xml:space="preserve"> Nykoping </t>
  </si>
  <si>
    <t xml:space="preserve"> Orebro S. </t>
  </si>
  <si>
    <t xml:space="preserve"> Ragsved </t>
  </si>
  <si>
    <t xml:space="preserve"> Sleipner </t>
  </si>
  <si>
    <t xml:space="preserve"> Smedby </t>
  </si>
  <si>
    <t xml:space="preserve"> Syrianska </t>
  </si>
  <si>
    <t xml:space="preserve"> B. Banovici </t>
  </si>
  <si>
    <t xml:space="preserve"> B. Gracanica </t>
  </si>
  <si>
    <t xml:space="preserve"> Celik </t>
  </si>
  <si>
    <t xml:space="preserve"> GOSK Gabela </t>
  </si>
  <si>
    <t xml:space="preserve"> Igman Konjic </t>
  </si>
  <si>
    <t xml:space="preserve"> Jedinstvo Bihac </t>
  </si>
  <si>
    <t xml:space="preserve"> R. Hadzici </t>
  </si>
  <si>
    <t xml:space="preserve"> Sloboda Tuzla </t>
  </si>
  <si>
    <t xml:space="preserve"> Stupcanica </t>
  </si>
  <si>
    <t xml:space="preserve"> Tomislav </t>
  </si>
  <si>
    <t xml:space="preserve"> TOSK Tesanj </t>
  </si>
  <si>
    <t xml:space="preserve"> Travnik </t>
  </si>
  <si>
    <t xml:space="preserve"> Tusla City </t>
  </si>
  <si>
    <t xml:space="preserve"> Vitez </t>
  </si>
  <si>
    <t xml:space="preserve"> A. Atlanta </t>
  </si>
  <si>
    <t xml:space="preserve"> A. Rafaela </t>
  </si>
  <si>
    <t xml:space="preserve"> Acassuso </t>
  </si>
  <si>
    <t xml:space="preserve"> Agropecuario </t>
  </si>
  <si>
    <t xml:space="preserve"> All Boys </t>
  </si>
  <si>
    <t xml:space="preserve"> Almagro </t>
  </si>
  <si>
    <t xml:space="preserve"> Almirante Brown </t>
  </si>
  <si>
    <t xml:space="preserve"> Atletico Mitre </t>
  </si>
  <si>
    <t xml:space="preserve"> CA Estudiantes </t>
  </si>
  <si>
    <t xml:space="preserve"> CA Guemes </t>
  </si>
  <si>
    <t xml:space="preserve"> Central Norte </t>
  </si>
  <si>
    <t xml:space="preserve"> Chacarita J. </t>
  </si>
  <si>
    <t xml:space="preserve"> Chaco For Ever </t>
  </si>
  <si>
    <t xml:space="preserve"> Ciudad Bolivar </t>
  </si>
  <si>
    <t xml:space="preserve"> Colegiales </t>
  </si>
  <si>
    <t xml:space="preserve"> Colon Santa Fe </t>
  </si>
  <si>
    <t xml:space="preserve"> D. de Belgrano </t>
  </si>
  <si>
    <t xml:space="preserve"> D. Madryn </t>
  </si>
  <si>
    <t xml:space="preserve"> Deportivo Maipu </t>
  </si>
  <si>
    <t xml:space="preserve"> Deportivo Moron </t>
  </si>
  <si>
    <t xml:space="preserve"> Ferro Carril </t>
  </si>
  <si>
    <t xml:space="preserve"> Gimnasia Jujuy </t>
  </si>
  <si>
    <t xml:space="preserve"> Gimnasia y Tiro </t>
  </si>
  <si>
    <t xml:space="preserve"> Los Andes </t>
  </si>
  <si>
    <t xml:space="preserve"> Midland </t>
  </si>
  <si>
    <t xml:space="preserve"> Nueva Chicago </t>
  </si>
  <si>
    <t xml:space="preserve"> Patronato </t>
  </si>
  <si>
    <t xml:space="preserve"> Quilmes </t>
  </si>
  <si>
    <t xml:space="preserve"> Racing Cordoba </t>
  </si>
  <si>
    <t xml:space="preserve"> San Miguel </t>
  </si>
  <si>
    <t xml:space="preserve"> San Telmo </t>
  </si>
  <si>
    <t xml:space="preserve"> SM Tucuman </t>
  </si>
  <si>
    <t xml:space="preserve"> Temperley </t>
  </si>
  <si>
    <t xml:space="preserve"> Tristan Suarez </t>
  </si>
  <si>
    <t xml:space="preserve"> Atlantis </t>
  </si>
  <si>
    <t xml:space="preserve"> HIFK </t>
  </si>
  <si>
    <t xml:space="preserve"> HPS </t>
  </si>
  <si>
    <t xml:space="preserve"> Kiffen </t>
  </si>
  <si>
    <t xml:space="preserve"> MYPA </t>
  </si>
  <si>
    <t xml:space="preserve"> PEPO </t>
  </si>
  <si>
    <t xml:space="preserve"> PPJ </t>
  </si>
  <si>
    <t xml:space="preserve"> PuiU Helsinki </t>
  </si>
  <si>
    <t xml:space="preserve"> Reipas </t>
  </si>
  <si>
    <t xml:space="preserve"> Union Plaani </t>
  </si>
  <si>
    <t xml:space="preserve"> B. Strikers </t>
  </si>
  <si>
    <t xml:space="preserve"> Broadbeach Utd </t>
  </si>
  <si>
    <t xml:space="preserve"> Caboolture </t>
  </si>
  <si>
    <t xml:space="preserve"> Capalaba </t>
  </si>
  <si>
    <t xml:space="preserve"> Holland Park H. </t>
  </si>
  <si>
    <t xml:space="preserve"> Ipswich </t>
  </si>
  <si>
    <t xml:space="preserve"> Logan Lightning </t>
  </si>
  <si>
    <t xml:space="preserve"> North Star </t>
  </si>
  <si>
    <t xml:space="preserve"> Redlands </t>
  </si>
  <si>
    <t xml:space="preserve"> Robina City </t>
  </si>
  <si>
    <t xml:space="preserve"> SC Wanderers </t>
  </si>
  <si>
    <t xml:space="preserve"> St George W. </t>
  </si>
  <si>
    <t xml:space="preserve">Atmosfera </t>
  </si>
  <si>
    <t xml:space="preserve"> Brage </t>
  </si>
  <si>
    <t xml:space="preserve"> Falkenberg </t>
  </si>
  <si>
    <t xml:space="preserve"> GIF Sundsvall </t>
  </si>
  <si>
    <t xml:space="preserve"> Helsingborg </t>
  </si>
  <si>
    <t xml:space="preserve"> Landskrona </t>
  </si>
  <si>
    <t xml:space="preserve"> Ljungskile </t>
  </si>
  <si>
    <t xml:space="preserve"> Norrby </t>
  </si>
  <si>
    <t xml:space="preserve"> Norrkoping </t>
  </si>
  <si>
    <t xml:space="preserve"> Oddevold </t>
  </si>
  <si>
    <t xml:space="preserve"> Orebro </t>
  </si>
  <si>
    <t xml:space="preserve"> Oster </t>
  </si>
  <si>
    <t xml:space="preserve"> Ostersunds </t>
  </si>
  <si>
    <t xml:space="preserve"> Sandviken </t>
  </si>
  <si>
    <t xml:space="preserve"> United Nordic </t>
  </si>
  <si>
    <t xml:space="preserve"> Varberg BoIS </t>
  </si>
  <si>
    <t xml:space="preserve"> Varnamo </t>
  </si>
  <si>
    <t xml:space="preserve"> Dalvik.Reynir </t>
  </si>
  <si>
    <t xml:space="preserve"> Forward Madison </t>
  </si>
  <si>
    <t xml:space="preserve"> Birmingham L. </t>
  </si>
</sst>
</file>

<file path=xl/styles.xml><?xml version="1.0" encoding="utf-8"?>
<styleSheet xmlns="http://schemas.openxmlformats.org/spreadsheetml/2006/main">
  <numFmts count="8">
    <numFmt numFmtId="0" formatCode="General"/>
    <numFmt numFmtId="2" formatCode="0.00"/>
    <numFmt numFmtId="9" formatCode="0%"/>
    <numFmt numFmtId="1" formatCode="0"/>
    <numFmt numFmtId="164" formatCode="_-* #,##0_-;\-* #,##0_-;_-* &quot;-&quot;??_-;_-@"/>
    <numFmt numFmtId="165" formatCode="_-* #,##0.00_-;\-* #,##0.00_-;_-* &quot;-&quot;??_-;_-@"/>
    <numFmt numFmtId="166" formatCode="0.0000000000"/>
    <numFmt numFmtId="167" formatCode="0.0"/>
  </numFmts>
  <fonts count="57">
    <font>
      <name val="Arial"/>
      <sz val="11"/>
    </font>
    <font>
      <name val="Arial"/>
      <sz val="11"/>
    </font>
    <font>
      <name val="Arial"/>
      <sz val="11"/>
      <color rgb="FFFFFFFF"/>
    </font>
    <font>
      <name val="Tahoma"/>
      <b/>
      <sz val="12"/>
      <color rgb="FFFFFFFF"/>
    </font>
    <font>
      <name val="Arial"/>
      <b/>
      <sz val="11"/>
      <color rgb="FFFFFFFF"/>
    </font>
    <font>
      <name val="Calibri"/>
      <sz val="10"/>
      <color rgb="FF000000"/>
    </font>
    <font>
      <name val="Calibri"/>
      <sz val="10"/>
      <color rgb="FFFFFFFF"/>
    </font>
    <font>
      <name val="Calibri"/>
      <b/>
      <sz val="10"/>
      <color rgb="FF000000"/>
    </font>
    <font>
      <name val="Arial"/>
      <sz val="11"/>
    </font>
    <font>
      <name val="Calibri"/>
      <sz val="11"/>
    </font>
    <font>
      <name val="Calibri"/>
      <sz val="11"/>
      <color rgb="FFFFFFFF"/>
    </font>
    <font>
      <name val="Arial"/>
      <sz val="11"/>
      <color rgb="FFFFFFFF"/>
    </font>
    <font>
      <name val="Arial"/>
      <b/>
      <sz val="14"/>
      <color rgb="FFFFFFFF"/>
    </font>
    <font>
      <name val="Arial"/>
      <sz val="11"/>
    </font>
    <font>
      <name val="Arial"/>
      <sz val="14"/>
      <color rgb="FFFFFFFF"/>
    </font>
    <font>
      <name val="Tahoma"/>
      <u/>
      <sz val="11"/>
      <color rgb="FFCC99FF"/>
    </font>
    <font>
      <name val="Tahoma"/>
      <sz val="11"/>
      <color rgb="FFCC99FF"/>
    </font>
    <font>
      <name val="Arial"/>
      <sz val="11"/>
      <color rgb="FFCC99FF"/>
    </font>
    <font>
      <name val="Arial"/>
      <sz val="11"/>
      <color rgb="FF993300"/>
    </font>
    <font>
      <name val="Calibri"/>
      <b/>
      <sz val="11"/>
    </font>
    <font>
      <name val="Calibri"/>
      <b/>
      <sz val="11"/>
      <color rgb="FF000000"/>
    </font>
    <font>
      <name val="Arial"/>
      <sz val="11"/>
      <color rgb="FFFF6600"/>
    </font>
    <font>
      <name val="Calibri"/>
      <sz val="11"/>
      <color rgb="FF000000"/>
    </font>
    <font>
      <name val="Calibri"/>
      <sz val="11"/>
      <color rgb="FFFF6600"/>
    </font>
    <font>
      <name val="Calibri"/>
      <sz val="11"/>
      <color rgb="FFBF0000"/>
    </font>
    <font>
      <name val="Calibri"/>
      <sz val="11"/>
      <color rgb="FF800000"/>
    </font>
    <font>
      <name val="Arial"/>
      <b/>
      <sz val="11"/>
    </font>
    <font>
      <name val="Arial"/>
      <sz val="11"/>
      <color rgb="FF808080"/>
    </font>
    <font>
      <name val="Arial"/>
      <sz val="11"/>
      <color rgb="FF9933FF"/>
    </font>
    <font>
      <name val="Calibri"/>
      <b/>
      <sz val="12"/>
    </font>
    <font>
      <name val="Arial"/>
      <b/>
      <sz val="12"/>
      <color rgb="FFFFFFFF"/>
    </font>
    <font>
      <name val="Arial"/>
      <b/>
      <sz val="12"/>
    </font>
    <font>
      <name val="Arial"/>
      <sz val="11"/>
      <color rgb="FF02A5E3"/>
    </font>
    <font>
      <name val="Calibri"/>
      <b/>
      <sz val="14"/>
      <color rgb="FFBF0000"/>
    </font>
    <font>
      <name val="Calibri"/>
      <b/>
      <sz val="11"/>
      <color rgb="FFFFFFFF"/>
    </font>
    <font>
      <name val="Calibri"/>
      <b/>
      <sz val="11"/>
      <color rgb="FFFF0000"/>
    </font>
    <font>
      <name val="Calibri"/>
      <b/>
      <sz val="11"/>
      <color rgb="FF02A5E3"/>
    </font>
    <font>
      <name val="Calibri"/>
      <sz val="11"/>
      <color rgb="FFFF0000"/>
    </font>
    <font>
      <name val="Calibri"/>
      <sz val="11"/>
      <color rgb="FF02A5E3"/>
    </font>
    <font>
      <name val="Arial"/>
      <sz val="11"/>
      <color rgb="FF92D04F"/>
    </font>
    <font>
      <name val="Arial"/>
      <sz val="11"/>
      <color rgb="FFBF0000"/>
    </font>
    <font>
      <name val="Arial"/>
      <sz val="11"/>
      <color rgb="FF000000"/>
    </font>
    <font>
      <name val="Calibri"/>
      <sz val="11"/>
      <color rgb="FF7030A0"/>
    </font>
    <font>
      <name val="Calibri"/>
      <u/>
      <sz val="11"/>
      <color rgb="FF800080"/>
    </font>
    <font>
      <name val="Arial"/>
      <sz val="11"/>
    </font>
    <font>
      <name val="Arial"/>
      <sz val="11"/>
    </font>
    <font>
      <name val="Arial"/>
      <sz val="11"/>
    </font>
    <font>
      <name val="Arial"/>
      <b/>
      <sz val="14"/>
    </font>
    <font>
      <name val="Arial"/>
      <b/>
      <sz val="14"/>
      <color rgb="FFC00000"/>
    </font>
    <font>
      <name val="Arial"/>
      <sz val="11"/>
    </font>
    <font>
      <name val="Arial"/>
      <sz val="11"/>
    </font>
    <font>
      <name val="Arial"/>
      <sz val="12"/>
    </font>
    <font>
      <name val="Arial"/>
      <i/>
      <sz val="11"/>
    </font>
    <font>
      <name val="Times New Roman"/>
      <b/>
      <sz val="16"/>
      <color rgb="FF1F4E79"/>
    </font>
    <font>
      <name val="Calibri"/>
      <b/>
      <sz val="14"/>
    </font>
    <font>
      <name val="Calibri"/>
      <sz val="18"/>
    </font>
    <font>
      <name val="Calibri"/>
      <sz val="16"/>
    </font>
  </fonts>
  <fills count="34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99FF"/>
      </patternFill>
    </fill>
    <fill>
      <patternFill patternType="solid">
        <fgColor rgb="FFCC99FF"/>
        <bgColor rgb="FFF0F0F0"/>
      </patternFill>
    </fill>
    <fill>
      <patternFill patternType="solid">
        <fgColor rgb="FFCC99FF"/>
        <bgColor rgb="FFFFFFFF"/>
      </patternFill>
    </fill>
    <fill>
      <patternFill patternType="solid">
        <fgColor rgb="FFCC99FF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9900FF"/>
        <bgColor rgb="FF9900FF"/>
      </patternFill>
    </fill>
    <fill>
      <patternFill patternType="solid">
        <fgColor rgb="FFFFE100"/>
        <bgColor rgb="FFFFE100"/>
      </patternFill>
    </fill>
    <fill>
      <patternFill patternType="solid">
        <fgColor rgb="FF92D04F"/>
        <bgColor rgb="FF92D04F"/>
      </patternFill>
    </fill>
    <fill>
      <patternFill patternType="solid">
        <fgColor rgb="FF00B050"/>
        <bgColor rgb="FFF3F3F3"/>
      </patternFill>
    </fill>
    <fill>
      <patternFill patternType="solid">
        <fgColor rgb="FF8E7CC3"/>
        <bgColor rgb="FF8E7CC3"/>
      </patternFill>
    </fill>
    <fill>
      <patternFill patternType="solid">
        <fgColor rgb="FF02A5E3"/>
        <bgColor rgb="FFFFFFFF"/>
      </patternFill>
    </fill>
    <fill>
      <patternFill patternType="solid">
        <fgColor rgb="FF92D04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B4C7E7"/>
        <bgColor rgb="FFB4C7E7"/>
      </patternFill>
    </fill>
    <fill>
      <patternFill patternType="solid">
        <fgColor rgb="FFA8D08E"/>
        <bgColor rgb="FFA8D08E"/>
      </patternFill>
    </fill>
    <fill>
      <patternFill patternType="solid">
        <fgColor rgb="FFFFF2CB"/>
        <bgColor rgb="FFFFF2CB"/>
      </patternFill>
    </fill>
    <fill>
      <patternFill patternType="solid">
        <fgColor rgb="FFBED7EE"/>
        <bgColor rgb="FFBED7EE"/>
      </patternFill>
    </fill>
    <fill>
      <patternFill patternType="solid">
        <fgColor rgb="FFC9C9C9"/>
        <bgColor rgb="FFC9C9C9"/>
      </patternFill>
    </fill>
    <fill>
      <patternFill patternType="solid">
        <fgColor rgb="FF02A5E3"/>
        <bgColor rgb="FF02A5E3"/>
      </patternFill>
    </fill>
    <fill>
      <patternFill patternType="solid">
        <fgColor rgb="FFFFC000"/>
        <bgColor rgb="FFFFC000"/>
      </patternFill>
    </fill>
    <fill>
      <patternFill patternType="solid">
        <fgColor rgb="FFD04617"/>
        <bgColor rgb="FFD04617"/>
      </patternFill>
    </fill>
    <fill>
      <patternFill patternType="solid">
        <fgColor rgb="FFDBDBDB"/>
        <bgColor rgb="FFDBDBDB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9DC3E5"/>
        <bgColor rgb="FF9DC3E5"/>
      </patternFill>
    </fill>
    <fill>
      <patternFill patternType="solid">
        <fgColor rgb="FFBFBFBF"/>
        <bgColor rgb="FFBFBFBF"/>
      </patternFill>
    </fill>
    <fill>
      <patternFill patternType="solid">
        <fgColor rgb="FFDEEAF6"/>
        <bgColor rgb="FFDEEAF6"/>
      </patternFill>
    </fill>
  </fills>
  <borders count="5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rgb="FFDDDDDD"/>
      </bottom>
      <diagonal/>
    </border>
    <border>
      <left/>
      <right/>
      <top style="thin">
        <color indexed="64"/>
      </top>
      <bottom style="thin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indexed="64"/>
      </right>
      <top/>
      <bottom style="thin">
        <color rgb="FFDDDDDD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76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2" fontId="1" fillId="2" borderId="0" xfId="0" applyNumberFormat="1" applyFont="1" applyBorder="1">
      <alignment vertical="center"/>
    </xf>
    <xf numFmtId="0" fontId="1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4" borderId="0" xfId="0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1" fillId="4" borderId="0" xfId="0" applyFont="1" applyFill="1" applyBorder="1">
      <alignment vertical="center"/>
    </xf>
    <xf numFmtId="0" fontId="4" fillId="3" borderId="0" xfId="0" applyFont="1" applyBorder="1" applyAlignment="1">
      <alignment horizontal="right" vertical="center"/>
    </xf>
    <xf numFmtId="0" fontId="4" fillId="3" borderId="0" xfId="0" applyFont="1" applyBorder="1">
      <alignment vertical="center"/>
    </xf>
    <xf numFmtId="0" fontId="5" fillId="3" borderId="0" xfId="0" applyFont="1" applyBorder="1" applyAlignment="1">
      <alignment horizontal="center" vertical="center" wrapText="1"/>
    </xf>
    <xf numFmtId="0" fontId="6" fillId="3" borderId="0" xfId="0" applyFont="1" applyBorder="1" applyAlignment="1">
      <alignment horizontal="center" vertical="center" wrapText="1"/>
    </xf>
    <xf numFmtId="0" fontId="7" fillId="3" borderId="1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5" fillId="3" borderId="1" xfId="0" applyFont="1" applyBorder="1" applyAlignment="1">
      <alignment horizontal="center" vertical="center" wrapText="1"/>
    </xf>
    <xf numFmtId="0" fontId="9" fillId="3" borderId="0" xfId="0" applyFont="1" applyBorder="1">
      <alignment vertical="center"/>
    </xf>
    <xf numFmtId="0" fontId="2" fillId="3" borderId="0" xfId="0" applyFont="1" applyFill="1" applyBorder="1">
      <alignment vertical="center"/>
    </xf>
    <xf numFmtId="2" fontId="10" fillId="3" borderId="0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4" borderId="0" xfId="0" applyFont="1" applyBorder="1" applyAlignment="1">
      <alignment vertical="center" wrapText="1"/>
    </xf>
    <xf numFmtId="0" fontId="13" fillId="0" borderId="0" xfId="0" applyFont="1" applyBorder="1">
      <alignment vertical="center"/>
    </xf>
    <xf numFmtId="0" fontId="5" fillId="4" borderId="0" xfId="0" applyFont="1" applyBorder="1" applyAlignment="1">
      <alignment horizontal="center" vertical="center" wrapText="1"/>
    </xf>
    <xf numFmtId="0" fontId="7" fillId="4" borderId="0" xfId="0" applyFont="1" applyBorder="1" applyAlignment="1">
      <alignment horizontal="center" vertical="center" wrapText="1"/>
    </xf>
    <xf numFmtId="0" fontId="9" fillId="4" borderId="0" xfId="0" applyFont="1" applyBorder="1">
      <alignment vertical="center"/>
    </xf>
    <xf numFmtId="9" fontId="10" fillId="4" borderId="0" xfId="0" applyNumberFormat="1" applyFont="1" applyBorder="1">
      <alignment vertical="center"/>
    </xf>
    <xf numFmtId="0" fontId="14" fillId="3" borderId="0" xfId="0" applyFont="1" applyBorder="1">
      <alignment vertical="center"/>
    </xf>
    <xf numFmtId="2" fontId="15" fillId="5" borderId="2" xfId="0" applyNumberFormat="1" applyFont="1" applyFill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/>
    </xf>
    <xf numFmtId="2" fontId="16" fillId="6" borderId="3" xfId="0" applyNumberFormat="1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left" vertical="center"/>
    </xf>
    <xf numFmtId="2" fontId="16" fillId="6" borderId="4" xfId="0" applyNumberFormat="1" applyFont="1" applyFill="1" applyBorder="1" applyAlignment="1">
      <alignment horizontal="center" vertical="center"/>
    </xf>
    <xf numFmtId="2" fontId="1" fillId="3" borderId="0" xfId="0" applyNumberFormat="1" applyFont="1" applyBorder="1">
      <alignment vertical="center"/>
    </xf>
    <xf numFmtId="9" fontId="10" fillId="3" borderId="0" xfId="0" applyNumberFormat="1" applyFont="1" applyBorder="1">
      <alignment vertical="center"/>
    </xf>
    <xf numFmtId="0" fontId="15" fillId="5" borderId="5" xfId="0" applyFont="1" applyFill="1" applyBorder="1" applyAlignment="1">
      <alignment horizontal="right" vertical="center"/>
    </xf>
    <xf numFmtId="0" fontId="16" fillId="7" borderId="6" xfId="0" applyFont="1" applyFill="1" applyBorder="1" applyAlignment="1">
      <alignment horizontal="center" vertical="center"/>
    </xf>
    <xf numFmtId="2" fontId="16" fillId="7" borderId="6" xfId="0" applyNumberFormat="1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left" vertical="center"/>
    </xf>
    <xf numFmtId="2" fontId="16" fillId="7" borderId="7" xfId="0" applyNumberFormat="1" applyFont="1" applyFill="1" applyBorder="1" applyAlignment="1">
      <alignment horizontal="center" vertical="center"/>
    </xf>
    <xf numFmtId="2" fontId="1" fillId="4" borderId="0" xfId="0" applyNumberFormat="1" applyFont="1" applyBorder="1">
      <alignment vertical="center"/>
    </xf>
    <xf numFmtId="2" fontId="10" fillId="4" borderId="0" xfId="0" applyNumberFormat="1" applyFont="1" applyBorder="1">
      <alignment vertical="center"/>
    </xf>
    <xf numFmtId="2" fontId="16" fillId="7" borderId="6" xfId="0" applyNumberFormat="1" applyFont="1" applyFill="1" applyBorder="1" applyAlignment="1">
      <alignment horizontal="left" vertical="center"/>
    </xf>
    <xf numFmtId="0" fontId="15" fillId="8" borderId="5" xfId="0" applyFont="1" applyFill="1" applyBorder="1" applyAlignment="1">
      <alignment horizontal="right" vertical="center"/>
    </xf>
    <xf numFmtId="0" fontId="16" fillId="8" borderId="6" xfId="0" applyFont="1" applyFill="1" applyBorder="1" applyAlignment="1">
      <alignment horizontal="center" vertical="center"/>
    </xf>
    <xf numFmtId="2" fontId="16" fillId="8" borderId="6" xfId="0" applyNumberFormat="1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left" vertical="center"/>
    </xf>
    <xf numFmtId="2" fontId="16" fillId="8" borderId="7" xfId="0" applyNumberFormat="1" applyFont="1" applyFill="1" applyBorder="1" applyAlignment="1">
      <alignment horizontal="center" vertical="center"/>
    </xf>
    <xf numFmtId="2" fontId="16" fillId="8" borderId="6" xfId="0" applyNumberFormat="1" applyFont="1" applyFill="1" applyBorder="1" applyAlignment="1">
      <alignment horizontal="left" vertical="center"/>
    </xf>
    <xf numFmtId="0" fontId="16" fillId="8" borderId="5" xfId="0" applyFont="1" applyFill="1" applyBorder="1" applyAlignment="1">
      <alignment horizontal="right" vertical="center"/>
    </xf>
    <xf numFmtId="0" fontId="17" fillId="8" borderId="8" xfId="0" applyFont="1" applyFill="1" applyBorder="1" applyAlignment="1">
      <alignment horizontal="left" vertical="center" wrapText="1"/>
    </xf>
    <xf numFmtId="0" fontId="17" fillId="8" borderId="9" xfId="0" applyFont="1" applyFill="1" applyBorder="1" applyAlignment="1">
      <alignment horizontal="center" vertical="center" wrapText="1"/>
    </xf>
    <xf numFmtId="2" fontId="17" fillId="8" borderId="9" xfId="0" applyNumberFormat="1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vertical="center" wrapText="1"/>
    </xf>
    <xf numFmtId="2" fontId="17" fillId="8" borderId="10" xfId="0" applyNumberFormat="1" applyFont="1" applyFill="1" applyBorder="1" applyAlignment="1">
      <alignment horizontal="center" vertical="center" wrapText="1"/>
    </xf>
    <xf numFmtId="0" fontId="12" fillId="4" borderId="0" xfId="0" applyFont="1" applyBorder="1" applyAlignment="1">
      <alignment horizontal="center" vertical="center"/>
    </xf>
    <xf numFmtId="0" fontId="17" fillId="8" borderId="11" xfId="0" applyFont="1" applyFill="1" applyBorder="1">
      <alignment vertical="center"/>
    </xf>
    <xf numFmtId="0" fontId="17" fillId="5" borderId="12" xfId="0" applyFont="1" applyFill="1" applyBorder="1">
      <alignment vertical="center"/>
    </xf>
    <xf numFmtId="0" fontId="17" fillId="5" borderId="13" xfId="0" applyFont="1" applyFill="1" applyBorder="1">
      <alignment vertical="center"/>
    </xf>
    <xf numFmtId="0" fontId="13" fillId="4" borderId="0" xfId="0" applyFont="1" applyFill="1" applyBorder="1">
      <alignment vertical="center"/>
    </xf>
    <xf numFmtId="0" fontId="12" fillId="3" borderId="0" xfId="0" applyFont="1" applyBorder="1" applyAlignment="1">
      <alignment horizontal="center" vertical="center"/>
    </xf>
    <xf numFmtId="0" fontId="13" fillId="3" borderId="0" xfId="0" applyFont="1" applyFill="1" applyBorder="1">
      <alignment vertical="center"/>
    </xf>
    <xf numFmtId="2" fontId="9" fillId="3" borderId="0" xfId="0" applyNumberFormat="1" applyFont="1" applyBorder="1">
      <alignment vertical="center"/>
    </xf>
    <xf numFmtId="0" fontId="5" fillId="3" borderId="0" xfId="0" applyFont="1" applyBorder="1" applyAlignment="1">
      <alignment vertical="center" wrapText="1"/>
    </xf>
    <xf numFmtId="0" fontId="18" fillId="3" borderId="0" xfId="0" applyFont="1" applyFill="1" applyBorder="1">
      <alignment vertical="center"/>
    </xf>
    <xf numFmtId="0" fontId="2" fillId="3" borderId="0" xfId="0" applyFont="1" applyBorder="1">
      <alignment vertical="center"/>
    </xf>
    <xf numFmtId="0" fontId="19" fillId="3" borderId="0" xfId="0" applyFont="1" applyBorder="1" applyAlignment="1">
      <alignment horizontal="center" vertical="center"/>
    </xf>
    <xf numFmtId="0" fontId="19" fillId="3" borderId="0" xfId="0" applyFont="1" applyBorder="1">
      <alignment vertical="center"/>
    </xf>
    <xf numFmtId="0" fontId="20" fillId="3" borderId="0" xfId="0" applyFont="1" applyBorder="1" applyAlignment="1">
      <alignment horizontal="center" vertical="center"/>
    </xf>
    <xf numFmtId="0" fontId="14" fillId="4" borderId="0" xfId="0" applyFont="1" applyBorder="1">
      <alignment vertical="center"/>
    </xf>
    <xf numFmtId="0" fontId="2" fillId="4" borderId="14" xfId="0" applyFont="1" applyBorder="1">
      <alignment vertical="center"/>
    </xf>
    <xf numFmtId="0" fontId="21" fillId="4" borderId="0" xfId="0" applyFont="1" applyFill="1" applyBorder="1">
      <alignment vertical="center"/>
    </xf>
    <xf numFmtId="0" fontId="22" fillId="4" borderId="0" xfId="0" applyFont="1" applyBorder="1" applyAlignment="1">
      <alignment vertical="bottom"/>
    </xf>
    <xf numFmtId="0" fontId="9" fillId="4" borderId="0" xfId="0" applyFont="1" applyBorder="1" applyAlignment="1">
      <alignment horizontal="center" vertical="center"/>
    </xf>
    <xf numFmtId="0" fontId="2" fillId="3" borderId="14" xfId="0" applyFont="1" applyBorder="1" applyAlignment="1">
      <alignment horizontal="center" vertical="center"/>
    </xf>
    <xf numFmtId="0" fontId="4" fillId="3" borderId="15" xfId="0" applyFont="1" applyBorder="1">
      <alignment vertical="center"/>
    </xf>
    <xf numFmtId="0" fontId="23" fillId="3" borderId="0" xfId="0" applyFont="1" applyBorder="1" applyAlignment="1">
      <alignment horizontal="left" vertical="top"/>
    </xf>
    <xf numFmtId="0" fontId="22" fillId="3" borderId="16" xfId="0" applyFont="1" applyBorder="1" applyAlignment="1">
      <alignment vertical="bottom"/>
    </xf>
    <xf numFmtId="0" fontId="20" fillId="3" borderId="16" xfId="0" applyFont="1" applyBorder="1" applyAlignment="1">
      <alignment vertical="bottom"/>
    </xf>
    <xf numFmtId="0" fontId="2" fillId="4" borderId="17" xfId="0" applyFont="1" applyBorder="1" applyAlignment="1">
      <alignment horizontal="center" vertical="center"/>
    </xf>
    <xf numFmtId="0" fontId="2" fillId="4" borderId="15" xfId="0" applyFont="1" applyBorder="1">
      <alignment vertical="center"/>
    </xf>
    <xf numFmtId="0" fontId="2" fillId="3" borderId="17" xfId="0" applyFont="1" applyBorder="1" applyAlignment="1">
      <alignment horizontal="center" vertical="center"/>
    </xf>
    <xf numFmtId="0" fontId="2" fillId="3" borderId="15" xfId="0" applyFont="1" applyBorder="1">
      <alignment vertical="center"/>
    </xf>
    <xf numFmtId="0" fontId="21" fillId="3" borderId="0" xfId="0" applyFont="1" applyFill="1" applyBorder="1">
      <alignment vertical="center"/>
    </xf>
    <xf numFmtId="0" fontId="4" fillId="9" borderId="18" xfId="0" applyFont="1" applyFill="1" applyBorder="1" applyAlignment="1">
      <alignment horizontal="center" vertical="center"/>
    </xf>
    <xf numFmtId="0" fontId="23" fillId="3" borderId="0" xfId="0" applyFont="1" applyBorder="1">
      <alignment vertical="center"/>
    </xf>
    <xf numFmtId="0" fontId="24" fillId="3" borderId="0" xfId="0" applyFont="1" applyBorder="1">
      <alignment vertical="center"/>
    </xf>
    <xf numFmtId="0" fontId="1" fillId="4" borderId="17" xfId="0" applyFont="1" applyBorder="1" applyAlignment="1">
      <alignment horizontal="center" vertical="center"/>
    </xf>
    <xf numFmtId="0" fontId="1" fillId="3" borderId="17" xfId="0" applyFont="1" applyBorder="1" applyAlignment="1">
      <alignment horizontal="center" vertical="center"/>
    </xf>
    <xf numFmtId="0" fontId="1" fillId="4" borderId="17" xfId="0" applyFont="1" applyBorder="1">
      <alignment vertical="center"/>
    </xf>
    <xf numFmtId="0" fontId="1" fillId="3" borderId="17" xfId="0" applyFont="1" applyBorder="1">
      <alignment vertical="center"/>
    </xf>
    <xf numFmtId="0" fontId="25" fillId="4" borderId="0" xfId="0" applyFont="1" applyBorder="1">
      <alignment vertical="center"/>
    </xf>
    <xf numFmtId="0" fontId="1" fillId="3" borderId="19" xfId="0" applyFont="1" applyBorder="1">
      <alignment vertical="center"/>
    </xf>
    <xf numFmtId="0" fontId="21" fillId="3" borderId="20" xfId="0" applyFont="1" applyBorder="1">
      <alignment vertical="center"/>
    </xf>
    <xf numFmtId="0" fontId="9" fillId="3" borderId="21" xfId="0" applyFont="1" applyBorder="1">
      <alignment vertical="center"/>
    </xf>
    <xf numFmtId="0" fontId="1" fillId="4" borderId="22" xfId="0" applyFont="1" applyBorder="1">
      <alignment vertical="center"/>
    </xf>
    <xf numFmtId="0" fontId="21" fillId="4" borderId="23" xfId="0" applyFont="1" applyBorder="1">
      <alignment vertical="center"/>
    </xf>
    <xf numFmtId="0" fontId="9" fillId="4" borderId="24" xfId="0" applyFont="1" applyBorder="1">
      <alignment vertical="center"/>
    </xf>
    <xf numFmtId="2" fontId="26" fillId="3" borderId="25" xfId="0" applyNumberFormat="1" applyFont="1" applyBorder="1" applyAlignment="1">
      <alignment horizontal="center" vertical="center"/>
    </xf>
    <xf numFmtId="0" fontId="27" fillId="10" borderId="0" xfId="0" applyFont="1" applyFill="1" applyBorder="1">
      <alignment vertical="center"/>
    </xf>
    <xf numFmtId="0" fontId="28" fillId="11" borderId="0" xfId="0" applyFont="1" applyFill="1" applyBorder="1">
      <alignment vertical="center"/>
    </xf>
    <xf numFmtId="0" fontId="29" fillId="3" borderId="0" xfId="0" applyFont="1" applyBorder="1">
      <alignment vertical="center"/>
    </xf>
    <xf numFmtId="0" fontId="29" fillId="3" borderId="0" xfId="0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9" fillId="3" borderId="26" xfId="0" applyFont="1" applyBorder="1">
      <alignment vertical="center"/>
    </xf>
    <xf numFmtId="0" fontId="29" fillId="3" borderId="0" xfId="0" applyFont="1" applyBorder="1">
      <alignment vertical="center"/>
    </xf>
    <xf numFmtId="0" fontId="4" fillId="4" borderId="0" xfId="0" applyFont="1" applyBorder="1" applyAlignment="1">
      <alignment horizontal="center" vertical="center"/>
    </xf>
    <xf numFmtId="0" fontId="30" fillId="12" borderId="0" xfId="0" applyFont="1" applyFill="1" applyBorder="1">
      <alignment vertical="center"/>
    </xf>
    <xf numFmtId="0" fontId="30" fillId="13" borderId="0" xfId="0" applyFont="1" applyFill="1" applyBorder="1" applyAlignment="1">
      <alignment vertical="center" wrapText="1"/>
    </xf>
    <xf numFmtId="0" fontId="31" fillId="4" borderId="0" xfId="0" applyFont="1" applyBorder="1">
      <alignment vertical="center"/>
    </xf>
    <xf numFmtId="0" fontId="19" fillId="4" borderId="0" xfId="0" applyFont="1" applyBorder="1">
      <alignment vertical="center"/>
    </xf>
    <xf numFmtId="0" fontId="2" fillId="3" borderId="0" xfId="0" applyFont="1" applyBorder="1" applyAlignment="1">
      <alignment horizontal="center" vertical="top"/>
    </xf>
    <xf numFmtId="0" fontId="32" fillId="3" borderId="0" xfId="0" applyFont="1" applyFill="1" applyBorder="1">
      <alignment vertical="center"/>
    </xf>
    <xf numFmtId="0" fontId="33" fillId="13" borderId="9" xfId="0" applyFont="1" applyBorder="1">
      <alignment vertical="center"/>
    </xf>
    <xf numFmtId="0" fontId="34" fillId="3" borderId="0" xfId="0" applyFont="1" applyBorder="1" applyAlignment="1">
      <alignment horizontal="center" vertical="center"/>
    </xf>
    <xf numFmtId="0" fontId="9" fillId="4" borderId="0" xfId="0" applyFont="1" applyBorder="1" applyAlignment="1">
      <alignment vertical="center" wrapText="1"/>
    </xf>
    <xf numFmtId="9" fontId="9" fillId="4" borderId="0" xfId="0" applyNumberFormat="1" applyFont="1" applyBorder="1">
      <alignment vertical="center"/>
    </xf>
    <xf numFmtId="9" fontId="9" fillId="3" borderId="0" xfId="0" applyNumberFormat="1" applyFont="1" applyBorder="1">
      <alignment vertical="center"/>
    </xf>
    <xf numFmtId="0" fontId="10" fillId="3" borderId="0" xfId="0" applyFont="1" applyBorder="1">
      <alignment vertical="center"/>
    </xf>
    <xf numFmtId="0" fontId="12" fillId="0" borderId="0" xfId="0" applyFont="1" applyAlignment="1">
      <alignment horizontal="right" vertical="center"/>
    </xf>
    <xf numFmtId="0" fontId="34" fillId="4" borderId="0" xfId="0" applyFont="1" applyBorder="1">
      <alignment vertical="center"/>
    </xf>
    <xf numFmtId="0" fontId="35" fillId="4" borderId="0" xfId="0" applyFont="1" applyBorder="1">
      <alignment vertical="center"/>
    </xf>
    <xf numFmtId="0" fontId="36" fillId="4" borderId="0" xfId="0" applyFont="1" applyBorder="1">
      <alignment vertical="center"/>
    </xf>
    <xf numFmtId="9" fontId="19" fillId="4" borderId="0" xfId="0" applyNumberFormat="1" applyFont="1" applyBorder="1">
      <alignment vertical="center"/>
    </xf>
    <xf numFmtId="2" fontId="19" fillId="4" borderId="0" xfId="0" applyNumberFormat="1" applyFont="1" applyBorder="1">
      <alignment vertical="center"/>
    </xf>
    <xf numFmtId="0" fontId="37" fillId="3" borderId="0" xfId="0" applyFont="1" applyBorder="1">
      <alignment vertical="center"/>
    </xf>
    <xf numFmtId="0" fontId="38" fillId="3" borderId="0" xfId="0" applyFont="1" applyBorder="1">
      <alignment vertical="center"/>
    </xf>
    <xf numFmtId="9" fontId="19" fillId="3" borderId="0" xfId="0" applyNumberFormat="1" applyFont="1" applyBorder="1">
      <alignment vertical="center"/>
    </xf>
    <xf numFmtId="2" fontId="19" fillId="3" borderId="0" xfId="0" applyNumberFormat="1" applyFont="1" applyBorder="1">
      <alignment vertical="center"/>
    </xf>
    <xf numFmtId="0" fontId="37" fillId="4" borderId="0" xfId="0" applyFont="1" applyBorder="1">
      <alignment vertical="center"/>
    </xf>
    <xf numFmtId="0" fontId="38" fillId="4" borderId="0" xfId="0" applyFont="1" applyBorder="1">
      <alignment vertical="center"/>
    </xf>
    <xf numFmtId="2" fontId="9" fillId="4" borderId="0" xfId="0" applyNumberFormat="1" applyFont="1" applyBorder="1">
      <alignment vertical="center"/>
    </xf>
    <xf numFmtId="0" fontId="1" fillId="4" borderId="0" xfId="0" applyFont="1" applyBorder="1" applyAlignment="1">
      <alignment vertical="center" wrapText="1"/>
    </xf>
    <xf numFmtId="0" fontId="39" fillId="3" borderId="0" xfId="0" applyFont="1" applyBorder="1">
      <alignment vertical="center"/>
    </xf>
    <xf numFmtId="0" fontId="40" fillId="3" borderId="0" xfId="0" applyFont="1" applyBorder="1">
      <alignment vertical="center"/>
    </xf>
    <xf numFmtId="0" fontId="39" fillId="4" borderId="0" xfId="0" applyFont="1" applyBorder="1">
      <alignment vertical="center"/>
    </xf>
    <xf numFmtId="0" fontId="40" fillId="4" borderId="0" xfId="0" applyFont="1" applyBorder="1">
      <alignment vertical="center"/>
    </xf>
    <xf numFmtId="0" fontId="25" fillId="3" borderId="0" xfId="0" applyFont="1" applyBorder="1">
      <alignment vertical="center"/>
    </xf>
    <xf numFmtId="0" fontId="41" fillId="3" borderId="0" xfId="0" applyFont="1" applyBorder="1">
      <alignment vertical="center"/>
    </xf>
    <xf numFmtId="1" fontId="1" fillId="3" borderId="21" xfId="0" applyNumberFormat="1" applyFont="1" applyBorder="1">
      <alignment vertical="center"/>
    </xf>
    <xf numFmtId="1" fontId="9" fillId="4" borderId="0" xfId="0" applyNumberFormat="1" applyFont="1" applyBorder="1">
      <alignment vertical="center"/>
    </xf>
    <xf numFmtId="1" fontId="1" fillId="4" borderId="26" xfId="0" applyNumberFormat="1" applyFont="1" applyBorder="1">
      <alignment vertical="center"/>
    </xf>
    <xf numFmtId="1" fontId="1" fillId="4" borderId="0" xfId="0" applyNumberFormat="1" applyFont="1" applyBorder="1">
      <alignment vertical="center"/>
    </xf>
    <xf numFmtId="1" fontId="9" fillId="3" borderId="0" xfId="0" applyNumberFormat="1" applyFont="1" applyBorder="1">
      <alignment vertical="center"/>
    </xf>
    <xf numFmtId="0" fontId="42" fillId="3" borderId="0" xfId="0" applyFont="1" applyBorder="1">
      <alignment vertical="center"/>
    </xf>
    <xf numFmtId="0" fontId="42" fillId="4" borderId="0" xfId="0" applyFont="1" applyBorder="1">
      <alignment vertical="center"/>
    </xf>
    <xf numFmtId="0" fontId="1" fillId="4" borderId="9" xfId="0" applyFont="1" applyBorder="1">
      <alignment vertical="center"/>
    </xf>
    <xf numFmtId="0" fontId="1" fillId="3" borderId="9" xfId="0" applyFont="1" applyBorder="1">
      <alignment vertical="center"/>
    </xf>
    <xf numFmtId="0" fontId="9" fillId="4" borderId="9" xfId="0" applyFont="1" applyBorder="1">
      <alignment vertical="center"/>
    </xf>
    <xf numFmtId="0" fontId="9" fillId="4" borderId="26" xfId="0" applyFont="1" applyBorder="1">
      <alignment vertical="center"/>
    </xf>
    <xf numFmtId="0" fontId="9" fillId="3" borderId="9" xfId="0" applyFont="1" applyBorder="1">
      <alignment vertical="center"/>
    </xf>
    <xf numFmtId="164" fontId="22" fillId="4" borderId="0" xfId="0" applyNumberFormat="1" applyFont="1" applyBorder="1" applyAlignment="1">
      <alignment vertical="bottom"/>
    </xf>
    <xf numFmtId="165" fontId="22" fillId="3" borderId="0" xfId="0" applyNumberFormat="1" applyFont="1" applyBorder="1" applyAlignment="1">
      <alignment vertical="bottom"/>
    </xf>
    <xf numFmtId="0" fontId="24" fillId="4" borderId="0" xfId="0" applyFont="1" applyBorder="1">
      <alignment vertical="center"/>
    </xf>
    <xf numFmtId="1" fontId="24" fillId="3" borderId="0" xfId="0" applyNumberFormat="1" applyFont="1" applyBorder="1">
      <alignment vertical="center"/>
    </xf>
    <xf numFmtId="0" fontId="26" fillId="4" borderId="0" xfId="0" applyFont="1" applyBorder="1">
      <alignment vertical="center"/>
    </xf>
    <xf numFmtId="0" fontId="43" fillId="3" borderId="0" xfId="0" applyFont="1" applyBorder="1">
      <alignment vertical="center"/>
    </xf>
    <xf numFmtId="0" fontId="44" fillId="3" borderId="0" xfId="0" applyFont="1" applyFill="1" applyBorder="1">
      <alignment vertical="center"/>
    </xf>
    <xf numFmtId="0" fontId="44" fillId="4" borderId="0" xfId="0" applyFont="1" applyFill="1" applyBorder="1">
      <alignment vertical="center"/>
    </xf>
    <xf numFmtId="0" fontId="44" fillId="4" borderId="27" xfId="0" applyFont="1" applyFill="1" applyBorder="1">
      <alignment vertical="center"/>
    </xf>
    <xf numFmtId="0" fontId="44" fillId="4" borderId="28" xfId="0" applyFont="1" applyFill="1" applyBorder="1">
      <alignment vertical="center"/>
    </xf>
    <xf numFmtId="0" fontId="44" fillId="4" borderId="29" xfId="0" applyFont="1" applyFill="1" applyBorder="1">
      <alignment vertical="center"/>
    </xf>
    <xf numFmtId="0" fontId="45" fillId="3" borderId="0" xfId="0" applyFont="1" applyFill="1" applyBorder="1">
      <alignment vertical="center"/>
    </xf>
    <xf numFmtId="0" fontId="44" fillId="3" borderId="30" xfId="0" applyFont="1" applyFill="1" applyBorder="1">
      <alignment vertical="center"/>
    </xf>
    <xf numFmtId="0" fontId="44" fillId="3" borderId="0" xfId="0" applyFont="1" applyFill="1" applyBorder="1">
      <alignment vertical="center"/>
    </xf>
    <xf numFmtId="0" fontId="44" fillId="3" borderId="31" xfId="0" applyFont="1" applyFill="1" applyBorder="1">
      <alignment vertical="center"/>
    </xf>
    <xf numFmtId="0" fontId="45" fillId="4" borderId="0" xfId="0" applyFont="1" applyFill="1" applyBorder="1">
      <alignment vertical="center"/>
    </xf>
    <xf numFmtId="0" fontId="44" fillId="4" borderId="30" xfId="0" applyFont="1" applyFill="1" applyBorder="1">
      <alignment vertical="center"/>
    </xf>
    <xf numFmtId="0" fontId="44" fillId="4" borderId="0" xfId="0" applyFont="1" applyFill="1" applyBorder="1">
      <alignment vertical="center"/>
    </xf>
    <xf numFmtId="0" fontId="44" fillId="4" borderId="31" xfId="0" applyFont="1" applyFill="1" applyBorder="1">
      <alignment vertical="center"/>
    </xf>
    <xf numFmtId="0" fontId="44" fillId="3" borderId="32" xfId="0" applyFont="1" applyFill="1" applyBorder="1">
      <alignment vertical="center"/>
    </xf>
    <xf numFmtId="0" fontId="44" fillId="3" borderId="33" xfId="0" applyFont="1" applyFill="1" applyBorder="1">
      <alignment vertical="center"/>
    </xf>
    <xf numFmtId="0" fontId="44" fillId="3" borderId="34" xfId="0" applyFont="1" applyFill="1" applyBorder="1">
      <alignment vertical="center"/>
    </xf>
    <xf numFmtId="0" fontId="46" fillId="14" borderId="0" xfId="0" applyFont="1" applyFill="1" applyBorder="1">
      <alignment vertical="center"/>
    </xf>
    <xf numFmtId="0" fontId="46" fillId="3" borderId="0" xfId="0" applyFont="1" applyFill="1" applyBorder="1">
      <alignment vertical="center"/>
    </xf>
    <xf numFmtId="0" fontId="47" fillId="4" borderId="0" xfId="0" applyFont="1" applyBorder="1" applyAlignment="1">
      <alignment horizontal="right" vertical="center"/>
    </xf>
    <xf numFmtId="0" fontId="48" fillId="15" borderId="0" xfId="0" applyFont="1" applyFill="1" applyBorder="1">
      <alignment vertical="center"/>
    </xf>
    <xf numFmtId="0" fontId="40" fillId="4" borderId="0" xfId="0" applyFont="1" applyFill="1" applyBorder="1">
      <alignment vertical="center"/>
    </xf>
    <xf numFmtId="0" fontId="46" fillId="4" borderId="0" xfId="0" applyFont="1" applyFill="1" applyBorder="1">
      <alignment vertical="center"/>
    </xf>
    <xf numFmtId="0" fontId="46" fillId="4" borderId="35" xfId="0" applyFont="1" applyFill="1" applyBorder="1">
      <alignment vertical="center"/>
    </xf>
    <xf numFmtId="0" fontId="40" fillId="4" borderId="36" xfId="0" applyFont="1" applyFill="1" applyBorder="1">
      <alignment vertical="center"/>
    </xf>
    <xf numFmtId="9" fontId="1" fillId="3" borderId="0" xfId="0" applyNumberFormat="1" applyFont="1" applyBorder="1">
      <alignment vertical="center"/>
    </xf>
    <xf numFmtId="0" fontId="26" fillId="3" borderId="0" xfId="0" applyFont="1" applyFill="1" applyBorder="1">
      <alignment vertical="center"/>
    </xf>
    <xf numFmtId="0" fontId="46" fillId="16" borderId="0" xfId="0" applyFont="1" applyFill="1" applyBorder="1">
      <alignment vertical="center"/>
    </xf>
    <xf numFmtId="0" fontId="46" fillId="3" borderId="37" xfId="0" applyFont="1" applyFill="1" applyBorder="1">
      <alignment vertical="center"/>
    </xf>
    <xf numFmtId="0" fontId="46" fillId="17" borderId="0" xfId="0" applyFont="1" applyFill="1" applyBorder="1">
      <alignment vertical="center"/>
    </xf>
    <xf numFmtId="0" fontId="31" fillId="3" borderId="0" xfId="0" applyFont="1" applyFill="1" applyBorder="1" applyAlignment="1">
      <alignment horizontal="center" vertical="center"/>
    </xf>
    <xf numFmtId="0" fontId="49" fillId="4" borderId="0" xfId="0" applyFont="1" applyFill="1" applyBorder="1">
      <alignment vertical="center"/>
    </xf>
    <xf numFmtId="0" fontId="49" fillId="3" borderId="0" xfId="0" applyFont="1" applyFill="1" applyBorder="1">
      <alignment vertical="center"/>
    </xf>
    <xf numFmtId="0" fontId="49" fillId="3" borderId="37" xfId="0" applyFont="1" applyFill="1" applyBorder="1">
      <alignment vertical="center"/>
    </xf>
    <xf numFmtId="0" fontId="1" fillId="3" borderId="0" xfId="0" applyFont="1" applyBorder="1" applyAlignment="1">
      <alignment vertical="center" wrapText="1"/>
    </xf>
    <xf numFmtId="0" fontId="50" fillId="4" borderId="0" xfId="0" applyFont="1" applyFill="1" applyBorder="1">
      <alignment vertical="center"/>
    </xf>
    <xf numFmtId="0" fontId="51" fillId="4" borderId="0" xfId="0" applyFont="1" applyBorder="1">
      <alignment vertical="center"/>
    </xf>
    <xf numFmtId="0" fontId="52" fillId="3" borderId="0" xfId="0" applyFont="1" applyBorder="1">
      <alignment vertical="center"/>
    </xf>
    <xf numFmtId="0" fontId="22" fillId="0" borderId="0" xfId="0" applyFont="1" applyAlignment="1">
      <alignment vertical="bottom"/>
    </xf>
    <xf numFmtId="0" fontId="22" fillId="0" borderId="38" xfId="0" applyFont="1" applyBorder="1" applyAlignment="1">
      <alignment vertical="bottom"/>
    </xf>
    <xf numFmtId="0" fontId="22" fillId="0" borderId="39" xfId="0" applyFont="1" applyBorder="1" applyAlignment="1">
      <alignment vertical="bottom"/>
    </xf>
    <xf numFmtId="0" fontId="22" fillId="0" borderId="40" xfId="0" applyFont="1" applyBorder="1" applyAlignment="1">
      <alignment vertical="bottom"/>
    </xf>
    <xf numFmtId="0" fontId="9" fillId="0" borderId="0" xfId="0" applyFont="1">
      <alignment vertical="center"/>
    </xf>
    <xf numFmtId="0" fontId="20" fillId="9" borderId="38" xfId="0" applyFont="1" applyBorder="1" applyAlignment="1">
      <alignment vertical="bottom"/>
    </xf>
    <xf numFmtId="0" fontId="20" fillId="18" borderId="39" xfId="0" applyFont="1" applyFill="1" applyBorder="1" applyAlignment="1">
      <alignment vertical="bottom"/>
    </xf>
    <xf numFmtId="0" fontId="22" fillId="0" borderId="41" xfId="0" applyFont="1" applyBorder="1" applyAlignment="1">
      <alignment vertical="bottom"/>
    </xf>
    <xf numFmtId="0" fontId="22" fillId="18" borderId="0" xfId="0" applyFont="1" applyBorder="1" applyAlignment="1">
      <alignment vertical="bottom"/>
    </xf>
    <xf numFmtId="0" fontId="22" fillId="0" borderId="40" xfId="0" applyFont="1" applyBorder="1">
      <alignment vertical="center"/>
    </xf>
    <xf numFmtId="0" fontId="22" fillId="0" borderId="0" xfId="0" applyFont="1" applyAlignment="1">
      <alignment horizontal="center" vertical="bottom"/>
    </xf>
    <xf numFmtId="0" fontId="22" fillId="0" borderId="0" xfId="0" applyFont="1">
      <alignment vertical="center"/>
    </xf>
    <xf numFmtId="0" fontId="22" fillId="0" borderId="42" xfId="0" applyFont="1" applyBorder="1" applyAlignment="1">
      <alignment vertical="bottom"/>
    </xf>
    <xf numFmtId="0" fontId="22" fillId="9" borderId="40" xfId="0" applyFont="1" applyBorder="1" applyAlignment="1">
      <alignment vertical="bottom"/>
    </xf>
    <xf numFmtId="0" fontId="22" fillId="19" borderId="0" xfId="0" applyFont="1" applyFill="1" applyBorder="1" applyAlignment="1">
      <alignment vertical="bottom"/>
    </xf>
    <xf numFmtId="0" fontId="22" fillId="0" borderId="16" xfId="0" applyFont="1" applyBorder="1" applyAlignment="1">
      <alignment vertical="bottom"/>
    </xf>
    <xf numFmtId="0" fontId="22" fillId="0" borderId="43" xfId="0" applyFont="1" applyBorder="1" applyAlignment="1">
      <alignment vertical="bottom"/>
    </xf>
    <xf numFmtId="0" fontId="22" fillId="20" borderId="0" xfId="0" applyFont="1" applyFill="1" applyBorder="1" applyAlignment="1">
      <alignment vertical="bottom"/>
    </xf>
    <xf numFmtId="0" fontId="22" fillId="21" borderId="0" xfId="0" applyFont="1" applyFill="1" applyBorder="1" applyAlignment="1">
      <alignment vertical="bottom"/>
    </xf>
    <xf numFmtId="2" fontId="1" fillId="0" borderId="0" xfId="0" applyNumberFormat="1" applyFont="1">
      <alignment vertical="center"/>
    </xf>
    <xf numFmtId="0" fontId="22" fillId="22" borderId="0" xfId="0" applyFont="1" applyFill="1" applyBorder="1" applyAlignment="1">
      <alignment vertical="bottom"/>
    </xf>
    <xf numFmtId="0" fontId="23" fillId="0" borderId="0" xfId="0" applyFont="1">
      <alignment vertical="center"/>
    </xf>
    <xf numFmtId="0" fontId="22" fillId="9" borderId="0" xfId="0" applyFont="1" applyBorder="1" applyAlignment="1">
      <alignment vertical="bottom"/>
    </xf>
    <xf numFmtId="0" fontId="22" fillId="23" borderId="0" xfId="0" applyFont="1" applyFill="1" applyBorder="1" applyAlignment="1">
      <alignment vertical="bottom"/>
    </xf>
    <xf numFmtId="0" fontId="22" fillId="0" borderId="44" xfId="0" applyFont="1" applyBorder="1" applyAlignment="1">
      <alignment vertical="bottom"/>
    </xf>
    <xf numFmtId="0" fontId="22" fillId="0" borderId="45" xfId="0" applyFont="1" applyBorder="1" applyAlignment="1">
      <alignment vertical="bottom"/>
    </xf>
    <xf numFmtId="0" fontId="22" fillId="23" borderId="45" xfId="0" applyFont="1" applyBorder="1" applyAlignment="1">
      <alignment vertical="bottom"/>
    </xf>
    <xf numFmtId="0" fontId="22" fillId="0" borderId="46" xfId="0" applyFont="1" applyBorder="1" applyAlignment="1">
      <alignment vertical="bottom"/>
    </xf>
    <xf numFmtId="0" fontId="24" fillId="12" borderId="0" xfId="0" applyFont="1" applyBorder="1">
      <alignment vertical="center"/>
    </xf>
    <xf numFmtId="0" fontId="24" fillId="0" borderId="0" xfId="0" applyFont="1">
      <alignment vertical="center"/>
    </xf>
    <xf numFmtId="0" fontId="9" fillId="24" borderId="0" xfId="0" applyFont="1" applyFill="1" applyBorder="1">
      <alignment vertical="center"/>
    </xf>
    <xf numFmtId="0" fontId="9" fillId="0" borderId="0" xfId="0" applyFont="1" applyAlignment="1">
      <alignment vertical="center" wrapText="1"/>
    </xf>
    <xf numFmtId="166" fontId="9" fillId="0" borderId="0" xfId="0" applyNumberFormat="1" applyFont="1">
      <alignment vertical="center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1" fillId="0" borderId="47" xfId="0" applyFont="1" applyBorder="1">
      <alignment vertical="center"/>
    </xf>
    <xf numFmtId="0" fontId="1" fillId="0" borderId="48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50" xfId="0" applyFont="1" applyBorder="1">
      <alignment vertical="center"/>
    </xf>
    <xf numFmtId="0" fontId="1" fillId="0" borderId="18" xfId="0" applyFont="1" applyBorder="1">
      <alignment vertical="center"/>
    </xf>
    <xf numFmtId="0" fontId="9" fillId="9" borderId="0" xfId="0" applyFont="1" applyBorder="1">
      <alignment vertical="center"/>
    </xf>
    <xf numFmtId="0" fontId="9" fillId="20" borderId="0" xfId="0" applyFont="1" applyBorder="1">
      <alignment vertical="center"/>
    </xf>
    <xf numFmtId="0" fontId="9" fillId="25" borderId="0" xfId="0" applyFont="1" applyFill="1" applyBorder="1">
      <alignment vertical="center"/>
    </xf>
    <xf numFmtId="1" fontId="1" fillId="26" borderId="0" xfId="0" applyNumberFormat="1" applyFont="1" applyFill="1" applyBorder="1">
      <alignment vertical="center"/>
    </xf>
    <xf numFmtId="165" fontId="53" fillId="27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>
      <alignment vertical="center"/>
    </xf>
    <xf numFmtId="0" fontId="20" fillId="0" borderId="0" xfId="0" applyFont="1" applyAlignment="1">
      <alignment vertical="bottom"/>
    </xf>
    <xf numFmtId="0" fontId="8" fillId="0" borderId="0" xfId="0" applyFont="1" applyBorder="1">
      <alignment vertical="center"/>
    </xf>
    <xf numFmtId="0" fontId="22" fillId="22" borderId="38" xfId="0" applyFont="1" applyBorder="1" applyAlignment="1">
      <alignment vertical="bottom"/>
    </xf>
    <xf numFmtId="0" fontId="22" fillId="22" borderId="40" xfId="0" applyFont="1" applyBorder="1" applyAlignment="1">
      <alignment vertical="bottom"/>
    </xf>
    <xf numFmtId="2" fontId="22" fillId="0" borderId="0" xfId="0" applyNumberFormat="1" applyFont="1" applyAlignment="1">
      <alignment vertical="bottom"/>
    </xf>
    <xf numFmtId="0" fontId="22" fillId="22" borderId="44" xfId="0" applyFont="1" applyBorder="1" applyAlignment="1">
      <alignment vertical="bottom"/>
    </xf>
    <xf numFmtId="0" fontId="22" fillId="9" borderId="44" xfId="0" applyFont="1" applyBorder="1" applyAlignment="1">
      <alignment vertical="bottom"/>
    </xf>
    <xf numFmtId="0" fontId="37" fillId="0" borderId="0" xfId="0" applyFont="1" applyAlignment="1">
      <alignment vertical="bottom"/>
    </xf>
    <xf numFmtId="0" fontId="22" fillId="28" borderId="39" xfId="0" applyFont="1" applyFill="1" applyBorder="1" applyAlignment="1">
      <alignment vertical="bottom"/>
    </xf>
    <xf numFmtId="0" fontId="22" fillId="29" borderId="40" xfId="0" applyFont="1" applyFill="1" applyBorder="1" applyAlignment="1">
      <alignment vertical="bottom"/>
    </xf>
    <xf numFmtId="0" fontId="22" fillId="29" borderId="0" xfId="0" applyFont="1" applyBorder="1" applyAlignment="1">
      <alignment vertical="bottom"/>
    </xf>
    <xf numFmtId="0" fontId="22" fillId="29" borderId="42" xfId="0" applyFont="1" applyBorder="1" applyAlignment="1">
      <alignment vertical="bottom"/>
    </xf>
    <xf numFmtId="0" fontId="9" fillId="30" borderId="51" xfId="0" applyFont="1" applyFill="1" applyBorder="1">
      <alignment vertical="center"/>
    </xf>
    <xf numFmtId="0" fontId="9" fillId="30" borderId="52" xfId="0" applyFont="1" applyBorder="1">
      <alignment vertical="center"/>
    </xf>
    <xf numFmtId="0" fontId="9" fillId="30" borderId="0" xfId="0" applyFont="1" applyBorder="1">
      <alignment vertical="center"/>
    </xf>
    <xf numFmtId="0" fontId="9" fillId="31" borderId="0" xfId="0" applyFont="1" applyFill="1" applyBorder="1">
      <alignment vertical="center"/>
    </xf>
    <xf numFmtId="0" fontId="22" fillId="25" borderId="45" xfId="0" applyFont="1" applyBorder="1" applyAlignment="1">
      <alignment vertical="bottom"/>
    </xf>
    <xf numFmtId="0" fontId="19" fillId="28" borderId="0" xfId="0" applyFont="1" applyBorder="1">
      <alignment vertical="center"/>
    </xf>
    <xf numFmtId="0" fontId="9" fillId="28" borderId="0" xfId="0" applyFont="1" applyBorder="1">
      <alignment vertical="center"/>
    </xf>
    <xf numFmtId="0" fontId="54" fillId="0" borderId="0" xfId="0" applyFont="1" applyAlignment="1">
      <alignment horizontal="left" vertical="center"/>
    </xf>
    <xf numFmtId="0" fontId="24" fillId="0" borderId="0" xfId="0" applyFont="1" applyAlignment="1">
      <alignment vertical="center" wrapText="1"/>
    </xf>
    <xf numFmtId="0" fontId="55" fillId="0" borderId="0" xfId="0" applyFont="1">
      <alignment vertical="center"/>
    </xf>
    <xf numFmtId="0" fontId="9" fillId="32" borderId="0" xfId="0" applyFont="1" applyFill="1" applyBorder="1">
      <alignment vertical="center"/>
    </xf>
    <xf numFmtId="0" fontId="9" fillId="0" borderId="0" xfId="0" applyFont="1" applyAlignment="1">
      <alignment horizontal="left" vertical="center"/>
    </xf>
    <xf numFmtId="0" fontId="22" fillId="28" borderId="40" xfId="0" applyFont="1" applyBorder="1" applyAlignment="1">
      <alignment vertical="bottom"/>
    </xf>
    <xf numFmtId="0" fontId="9" fillId="28" borderId="0" xfId="0" applyFont="1" applyBorder="1" applyAlignment="1">
      <alignment horizontal="left" vertical="center"/>
    </xf>
    <xf numFmtId="0" fontId="37" fillId="0" borderId="0" xfId="0" applyFont="1">
      <alignment vertical="center"/>
    </xf>
    <xf numFmtId="0" fontId="37" fillId="9" borderId="44" xfId="0" applyFont="1" applyBorder="1" applyAlignment="1">
      <alignment vertical="bottom"/>
    </xf>
    <xf numFmtId="0" fontId="37" fillId="0" borderId="0" xfId="0" applyFont="1" applyAlignment="1">
      <alignment horizontal="left" vertical="center"/>
    </xf>
    <xf numFmtId="167" fontId="9" fillId="28" borderId="0" xfId="0" applyNumberFormat="1" applyFont="1" applyBorder="1" applyAlignment="1">
      <alignment horizontal="left" vertical="center"/>
    </xf>
    <xf numFmtId="0" fontId="56" fillId="0" borderId="0" xfId="0" applyFont="1">
      <alignment vertical="center"/>
    </xf>
    <xf numFmtId="0" fontId="9" fillId="33" borderId="0" xfId="0" applyFont="1" applyFill="1" applyBorder="1">
      <alignment vertical="center"/>
    </xf>
    <xf numFmtId="0" fontId="1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40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76"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  <dxf>
      <font/>
      <fill>
        <patternFill patternType="solid">
          <fgColor rgb="FFFFD865"/>
          <bgColor rgb="FFFFD865"/>
        </patternFill>
      </fill>
      <border>
        <left/>
        <right/>
        <top/>
        <bottom/>
        <diagonal/>
      </border>
    </dxf>
    <dxf>
      <font/>
      <fill>
        <patternFill patternType="solid">
          <fgColor rgb="FFC5E0B3"/>
          <bgColor rgb="FFC5E0B3"/>
        </patternFill>
      </fill>
      <border>
        <left/>
        <right/>
        <top/>
        <bottom/>
        <diagonal/>
      </border>
    </dxf>
    <dxf>
      <font/>
      <fill>
        <patternFill patternType="solid">
          <fgColor rgb="FFC5E0B3"/>
          <bgColor rgb="FFC5E0B3"/>
        </patternFill>
      </fill>
      <border>
        <left/>
        <right/>
        <top/>
        <bottom/>
        <diagonal/>
      </border>
    </dxf>
    <dxf>
      <font/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  <dxf>
      <font/>
      <fill>
        <patternFill patternType="solid">
          <fgColor rgb="FFFFE598"/>
          <bgColor rgb="FFFFE598"/>
        </patternFill>
      </fill>
      <border>
        <left/>
        <right/>
        <top/>
        <bottom/>
        <diagonal/>
      </border>
    </dxf>
    <dxf>
      <font/>
      <fill>
        <patternFill patternType="solid">
          <fgColor rgb="FFC5E0B3"/>
          <bgColor rgb="FFC5E0B3"/>
        </patternFill>
      </fill>
      <border>
        <left/>
        <right/>
        <top/>
        <bottom/>
        <diagonal/>
      </border>
    </dxf>
    <dxf>
      <font>
        <color rgb="FF000000"/>
      </font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  <dxf>
      <font/>
      <fill>
        <patternFill patternType="solid">
          <fgColor rgb="FFFFE598"/>
          <bgColor rgb="FFFFE598"/>
        </patternFill>
      </fill>
      <border>
        <left/>
        <right/>
        <top/>
        <bottom/>
        <diagonal/>
      </border>
    </dxf>
    <dxf>
      <font/>
      <fill>
        <patternFill patternType="solid">
          <fgColor rgb="FFFFE598"/>
          <bgColor rgb="FFFFE598"/>
        </patternFill>
      </fill>
      <border>
        <left/>
        <right/>
        <top/>
        <bottom/>
        <diagonal/>
      </border>
    </dxf>
    <dxf>
      <font/>
      <fill>
        <patternFill patternType="solid">
          <fgColor rgb="FFC5E0B3"/>
          <bgColor rgb="FFC5E0B3"/>
        </patternFill>
      </fill>
      <border>
        <left/>
        <right/>
        <top/>
        <bottom/>
        <diagonal/>
      </border>
    </dxf>
    <dxf>
      <font/>
      <fill>
        <patternFill patternType="solid">
          <fgColor rgb="FFA8D08E"/>
          <bgColor rgb="FFA8D08E"/>
        </patternFill>
      </fill>
      <border>
        <left/>
        <right/>
        <top/>
        <bottom/>
        <diagonal/>
      </border>
    </dxf>
    <dxf>
      <font/>
      <fill>
        <patternFill patternType="solid">
          <fgColor rgb="FFFFE598"/>
          <bgColor rgb="FFFFE598"/>
        </patternFill>
      </fill>
      <border>
        <left/>
        <right/>
        <top/>
        <bottom/>
        <diagonal/>
      </border>
    </dxf>
    <dxf>
      <font/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  <dxf>
      <font>
        <color rgb="FF000000"/>
      </font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W286"/>
  <sheetViews>
    <sheetView tabSelected="1" workbookViewId="0" topLeftCell="A4" showGridLines="0" zoomScale="49">
      <selection activeCell="B69" sqref="B69"/>
    </sheetView>
  </sheetViews>
  <sheetFormatPr defaultRowHeight="15.0" customHeight="1" defaultColWidth="14"/>
  <cols>
    <col min="1" max="1" customWidth="1" width="8.199219" style="0"/>
    <col min="2" max="2" customWidth="1" width="25.363281" style="0"/>
    <col min="3" max="3" customWidth="1" width="20.707031" style="0"/>
    <col min="4" max="4" customWidth="1" width="24.746094" style="0"/>
    <col min="5" max="5" hidden="1" customWidth="1" width="8.6328125" style="0"/>
    <col min="6" max="6" hidden="1" customWidth="1" width="12.003906" style="0"/>
    <col min="7" max="7" hidden="1" customWidth="1" width="12.453125" style="0"/>
    <col min="8" max="8" hidden="1" customWidth="1" width="10.363281" style="0"/>
    <col min="9" max="9" hidden="1" customWidth="1" width="14.625" style="0"/>
    <col min="10" max="10" hidden="1" customWidth="1" width="11.625" style="0"/>
    <col min="11" max="11" hidden="1" customWidth="1" width="9.253906" style="0"/>
    <col min="12" max="12" hidden="1" customWidth="1" width="8.8125" style="0"/>
    <col min="13" max="13" hidden="1" customWidth="1" width="27.875" style="0"/>
    <col min="14" max="14" hidden="1" customWidth="1" width="16.003906" style="0"/>
    <col min="15" max="15" hidden="1" customWidth="1" width="7.2734375" style="0"/>
    <col min="16" max="16" hidden="1" customWidth="1" width="18.453125" style="0"/>
    <col min="17" max="17" hidden="1" customWidth="1" width="9.2734375" style="0"/>
    <col min="18" max="18" hidden="1" customWidth="1" width="8.003906" style="0"/>
    <col min="19" max="19" hidden="1" customWidth="1" width="11.09375" style="0"/>
    <col min="20" max="20" hidden="1" customWidth="1" width="19.003906" style="0"/>
    <col min="21" max="21" hidden="1" customWidth="1" width="13.2734375" style="0"/>
    <col min="22" max="22" hidden="1" customWidth="1" width="16.003906" style="0"/>
    <col min="23" max="23" hidden="1" customWidth="1" width="19.09375" style="0"/>
    <col min="24" max="24" hidden="1" customWidth="1" width="18.722656" style="0"/>
    <col min="25" max="25" hidden="1" customWidth="1" width="13.363281" style="0"/>
    <col min="26" max="34" customWidth="1" width="10.0" style="0"/>
    <col min="35" max="35" customWidth="1" width="19.0" style="0"/>
    <col min="36" max="39" customWidth="1" width="10.0" style="0"/>
  </cols>
  <sheetData>
    <row r="1" spans="8:8" ht="15.0" hidden="1">
      <c r="A1" s="1">
        <f>IF(OR(C2&gt;3.5,D2&gt;3.5,D1&gt;3.5),"wow",IF(AND(C2&gt;2,D2&gt;2,D1&gt;2),"yes",IF(C2=MAX(C2,D2,D1),1,IF(D2=MAX(C2,D2,D1),2,IF(D1=MAX(C2,D2,D1),3,"")))))</f>
        <v>2.0</v>
      </c>
      <c r="B1" s="1">
        <f>IF(OR(E2&gt;3.5,F2&gt;3.5,F1&gt;3.5),"wow",IF(AND(E2&gt;2,F2&gt;2,F1&gt;2),"yes",IF(E2=MAX(E2,F2,F1),1,IF(F2=MAX(E2,F2,F1),2,IF(F1=MAX(E2,F2,F1),3,"")))))</f>
        <v>1.0</v>
      </c>
      <c r="C1" s="2">
        <f>$E46-D1</f>
        <v>0.9701749648048901</v>
      </c>
      <c r="D1" s="1">
        <f>AVERAGE(C2,D2)</f>
        <v>1.7908250351951065</v>
      </c>
      <c r="E1" s="2">
        <f>$E46-F1</f>
        <v>1.03658241671351</v>
      </c>
      <c r="F1" s="1">
        <f>AVERAGE(E2,F2)</f>
        <v>1.7244175832864919</v>
      </c>
      <c r="G1" s="2">
        <f>$E46-H1</f>
        <v>1.03658241671351</v>
      </c>
      <c r="H1" s="1">
        <f>AVERAGE(G2,H2)</f>
        <v>1.7244175832864919</v>
      </c>
      <c r="I1" s="2">
        <f>$E46-J1</f>
        <v>0.9701749648048901</v>
      </c>
      <c r="J1" s="1">
        <f>AVERAGE(I2,J2)</f>
        <v>1.7908250351951065</v>
      </c>
      <c r="K1" s="2">
        <f>$E46-L1</f>
        <v>-0.17934783853052005</v>
      </c>
      <c r="L1" s="1">
        <f>AVERAGE(K2,L2)</f>
        <v>2.9403478385305197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8:8" ht="15.0" hidden="1" customHeight="1">
      <c r="A2" s="3">
        <f>IF(OR(G2&gt;3.5,H2&gt;3.5,H1&gt;3.5),"wow",IF(AND(G2&gt;2,H2&gt;2,H1&gt;2),"yes",IF(G2=MAX(G2,H2,H1),1,IF(H2=MAX(G2,H2,H1),2,IF(H1=MAX(G2,H2,H1),3,"")))))</f>
        <v>1.0</v>
      </c>
      <c r="B2" s="3">
        <f>IF(OR(I2&gt;3.5,J2&gt;3.5,J1&gt;3.5),"wow",IF(AND(I2&gt;2,J2&gt;2,J1&gt;2),"yes",IF(I2=MAX(I2,J2,J1),1,IF(J2=MAX(I2,J2,J1),2,IF(J1=MAX(I2,J2,J1),3,"")))))</f>
        <v>2.0</v>
      </c>
      <c r="C2" s="3">
        <f>VLOOKUP(F48,$C6:$V42,14)+VLOOKUP(F48,C6:V42,16)*1.35</f>
        <v>1.6607836261531879</v>
      </c>
      <c r="D2" s="3">
        <f>VLOOKUP(G48,$C6:$V42,16)+VLOOKUP(G48,$C6:$V42,14)*1.35</f>
        <v>1.9208664442370251</v>
      </c>
      <c r="E2" s="3">
        <f>VLOOKUP(J48,$C6:$V42,14)+VLOOKUP(J48,$C6:$V42,16)*1.35</f>
        <v>1.775981423515316</v>
      </c>
      <c r="F2" s="3">
        <f>VLOOKUP(K48,$C6:$V42,16)+VLOOKUP(K48,$C6:$V42,14)*1.35</f>
        <v>1.672853743057668</v>
      </c>
      <c r="G2" s="3">
        <f>VLOOKUP(N48,$C6:$V42,14)+VLOOKUP(N48,$C6:$V42,16)*1.35</f>
        <v>1.775981423515316</v>
      </c>
      <c r="H2" s="3">
        <f>VLOOKUP(O48,$C6:$V42,16)+VLOOKUP(O48,$C6:$V42,14)*1.35</f>
        <v>1.672853743057668</v>
      </c>
      <c r="I2" s="3">
        <f>VLOOKUP(R48,$C6:$V42,14)+VLOOKUP(R48,$C6:$V42,16)*1.35</f>
        <v>1.6607836261531879</v>
      </c>
      <c r="J2" s="3">
        <f>VLOOKUP(S48,$C6:$V42,16)+VLOOKUP(S48,$C6:$V42,14)*1.35</f>
        <v>1.9208664442370251</v>
      </c>
      <c r="K2" s="3">
        <f>VLOOKUP(V48,$C6:$V42,14)+VLOOKUP(V48,$C6:$V42,16)*1.35</f>
        <v>2.85666244669166</v>
      </c>
      <c r="L2" s="3">
        <f>VLOOKUP(W48,$C6:$V42,16)+VLOOKUP(W48,$C6:$V42,14)*1.35</f>
        <v>3.0240332303693798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8:8" ht="14.1" customHeight="1">
      <c r="A3" s="4" t="str">
        <f>IF(OR(K2&gt;3.5,L2&gt;3.5,L1&gt;3.5),"wow",IF(AND(K2&gt;2,L2&gt;2,L1&gt;2),"yes",IF(K2=MAX(K2,L2,L1),1,IF(L2=MAX(K2,L2,L1),2,IF(L1=MAX(K2,L2,L1),3,"")))))</f>
        <v>yes</v>
      </c>
      <c r="B3" s="4" t="str">
        <f>IF(OR(A64="",Sheet2!AA15="no"),"",Sheet2!N2)</f>
        <v>bad</v>
      </c>
      <c r="C3" s="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8:8" ht="15.75" customHeight="1">
      <c r="A4" s="8" t="str">
        <f>_xlfn.TEXTJOIN(" /", ,IF(AND(A113="yes",E74=""),"+2",IF(AND(A113="yes",OR(E74="u2.5",E74="u3.5",E74="u4.5",E74="u5.5",E74="u6.5")),"+1",IF(AND(A113="yes",E74&lt;&gt;""),E74,"no"))),_xlfn.IFERROR(E74,""),A79,IF(Sheet2!M71="under",Sheet2!M77,Sheet2!M71))</f>
        <v>no /nope /none</v>
      </c>
      <c r="B4" s="9" t="str">
        <f>_xlfn.TEXTJOIN(" /", ,H104,_xlfn.IFERROR(E114,""),B115)</f>
        <v>low /yes /8</v>
      </c>
      <c r="C4" s="10"/>
      <c r="D4" s="11" t="s">
        <v>1</v>
      </c>
      <c r="E4" s="12" t="s">
        <v>2</v>
      </c>
      <c r="F4" s="13"/>
      <c r="G4" s="13"/>
      <c r="H4" s="14" t="s">
        <v>3</v>
      </c>
      <c r="I4" s="12" t="s">
        <v>4</v>
      </c>
      <c r="J4" s="13"/>
      <c r="K4" s="13"/>
      <c r="L4" s="14" t="s">
        <v>3</v>
      </c>
      <c r="M4" s="12" t="s">
        <v>5</v>
      </c>
      <c r="N4" s="13"/>
      <c r="O4" s="13"/>
      <c r="P4" s="15" t="s">
        <v>6</v>
      </c>
      <c r="Q4" s="15" t="s">
        <v>6</v>
      </c>
      <c r="R4" s="15" t="s">
        <v>7</v>
      </c>
      <c r="S4" s="15" t="s">
        <v>8</v>
      </c>
      <c r="T4" s="15" t="s">
        <v>9</v>
      </c>
      <c r="U4" s="15"/>
      <c r="V4" s="3"/>
      <c r="W4" s="3"/>
      <c r="X4" s="3"/>
      <c r="Y4" s="3"/>
      <c r="Z4" s="3"/>
      <c r="AA4" s="16"/>
      <c r="AB4" s="16" t="s">
        <v>10</v>
      </c>
      <c r="AC4" s="16" t="s">
        <v>11</v>
      </c>
      <c r="AD4" s="16">
        <v>2.25</v>
      </c>
      <c r="AE4" s="16"/>
      <c r="AF4" s="17">
        <v>1.6</v>
      </c>
      <c r="AG4" s="16"/>
      <c r="AH4" s="16"/>
      <c r="AI4" s="16" t="s">
        <v>10</v>
      </c>
      <c r="AJ4" s="16" t="s">
        <v>11</v>
      </c>
      <c r="AK4" s="17">
        <v>2.2</v>
      </c>
      <c r="AL4" s="16"/>
      <c r="AM4" s="16">
        <v>1.03</v>
      </c>
      <c r="AN4" s="18"/>
      <c r="AO4" s="18"/>
    </row>
    <row r="5" spans="8:8" ht="19.5" customHeight="1">
      <c r="A5" s="4" t="str">
        <f>_xlfn.TEXTJOIN("/ ", ,Sheet2!Y25,Sheet2!BW25)</f>
        <v>Add/ Add</v>
      </c>
      <c r="B5" s="19" t="str">
        <f>IF(A74&lt;51,"",IF(B70="","",IF(AND(T89="yes",U89="Yes"),"",_xlfn.TEXTJOIN("+ ", ,Sheet2!S3,M106,N106))))</f>
        <v/>
      </c>
      <c r="C5" s="20"/>
      <c r="D5" s="6"/>
      <c r="E5" s="21" t="s">
        <v>12</v>
      </c>
      <c r="F5" s="21" t="s">
        <v>13</v>
      </c>
      <c r="G5" s="21" t="s">
        <v>14</v>
      </c>
      <c r="H5" s="21" t="s">
        <v>3</v>
      </c>
      <c r="I5" s="21" t="s">
        <v>12</v>
      </c>
      <c r="J5" s="21" t="s">
        <v>13</v>
      </c>
      <c r="K5" s="21" t="s">
        <v>14</v>
      </c>
      <c r="L5" s="21" t="s">
        <v>3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15</v>
      </c>
      <c r="S5" s="22" t="s">
        <v>16</v>
      </c>
      <c r="T5" s="23" t="s">
        <v>17</v>
      </c>
      <c r="U5" s="23">
        <f>COUNT(C6:S6)</f>
        <v>14.0</v>
      </c>
      <c r="V5" s="7"/>
      <c r="W5" s="7"/>
      <c r="X5" s="7"/>
      <c r="Y5" s="7"/>
      <c r="Z5" s="7"/>
      <c r="AA5" s="4"/>
      <c r="AB5" s="4" t="s">
        <v>18</v>
      </c>
      <c r="AC5" s="4" t="s">
        <v>11</v>
      </c>
      <c r="AD5" s="24">
        <v>0.75</v>
      </c>
      <c r="AE5" s="4"/>
      <c r="AF5" s="24">
        <v>0.47</v>
      </c>
      <c r="AG5" s="4"/>
      <c r="AH5" s="4"/>
      <c r="AI5" s="4" t="s">
        <v>18</v>
      </c>
      <c r="AJ5" s="4" t="s">
        <v>11</v>
      </c>
      <c r="AK5" s="24">
        <v>0.6</v>
      </c>
      <c r="AL5" s="4"/>
      <c r="AM5" s="24">
        <v>0.28</v>
      </c>
      <c r="AN5" s="18"/>
      <c r="AO5" s="18"/>
    </row>
    <row r="6" spans="8:8" ht="39.75" customHeight="1">
      <c r="A6" s="25" t="str">
        <f>IF(Sheet2!F40="coup","just Add 1 goal","clean")</f>
        <v>just Add 1 goal</v>
      </c>
      <c r="B6" s="16" t="str">
        <f>_xlfn.TEXTJOIN(" ,", , ,Sheet2!V25,D46)</f>
        <v>check ,3.8115605</v>
      </c>
      <c r="C6" s="26" t="s">
        <v>3310</v>
      </c>
      <c r="D6" s="27">
        <v>10.0</v>
      </c>
      <c r="E6" s="28">
        <v>1.1</v>
      </c>
      <c r="F6" s="28">
        <v>1.2</v>
      </c>
      <c r="G6" s="28">
        <v>2.3</v>
      </c>
      <c r="H6" s="29" t="s">
        <v>179</v>
      </c>
      <c r="I6" s="28">
        <v>0.67</v>
      </c>
      <c r="J6" s="28">
        <v>0.67</v>
      </c>
      <c r="K6" s="28">
        <v>1.33</v>
      </c>
      <c r="L6" s="29" t="s">
        <v>179</v>
      </c>
      <c r="M6" s="28">
        <v>1.75</v>
      </c>
      <c r="N6" s="28">
        <v>2.0</v>
      </c>
      <c r="O6" s="30">
        <v>3.75</v>
      </c>
      <c r="P6" s="15">
        <f t="shared" si="0" ref="P6:P42">I6/$I$44</f>
        <v>0.4160457029309488</v>
      </c>
      <c r="Q6" s="15">
        <f t="shared" si="1" ref="Q6:Q42">J6/$J$44</f>
        <v>0.5767906336088154</v>
      </c>
      <c r="R6" s="15">
        <f t="shared" si="2" ref="R6:R42">M6/$M$44</f>
        <v>1.5138408304498268</v>
      </c>
      <c r="S6" s="15">
        <f t="shared" si="3" ref="S6:S42">N6/$N$44</f>
        <v>1.2543903662819869</v>
      </c>
      <c r="T6" s="15">
        <f t="shared" si="4" ref="T6:T42">IF((I6-M6)/D6&lt;0,0*(I6-M6)/D6,(I6-M6)/D6)</f>
        <v>0.0</v>
      </c>
      <c r="U6" s="15"/>
      <c r="V6" s="31">
        <f t="shared" si="5" ref="V6:V42">IF(K6&gt;0,AVERAGE(K6,O6)," ")</f>
        <v>2.54</v>
      </c>
      <c r="W6" s="3"/>
      <c r="X6" s="3"/>
      <c r="Y6" s="3"/>
      <c r="Z6" s="3"/>
      <c r="AA6" s="16"/>
      <c r="AB6" s="16" t="s">
        <v>20</v>
      </c>
      <c r="AC6" s="16"/>
      <c r="AD6" s="32">
        <v>0.0</v>
      </c>
      <c r="AE6" s="16" t="s">
        <v>11</v>
      </c>
      <c r="AF6" s="32">
        <v>0.18</v>
      </c>
      <c r="AG6" s="16"/>
      <c r="AH6" s="16"/>
      <c r="AI6" s="16" t="s">
        <v>20</v>
      </c>
      <c r="AJ6" s="16" t="s">
        <v>11</v>
      </c>
      <c r="AK6" s="32">
        <v>0.4</v>
      </c>
      <c r="AL6" s="16"/>
      <c r="AM6" s="32">
        <v>0.2</v>
      </c>
      <c r="AN6" s="18"/>
      <c r="AO6" s="18"/>
    </row>
    <row r="7" spans="8:8" ht="60.75" hidden="1" customHeight="1">
      <c r="A7" s="4"/>
      <c r="B7" s="4"/>
      <c r="C7" s="33" t="s">
        <v>2658</v>
      </c>
      <c r="D7" s="34">
        <v>11.0</v>
      </c>
      <c r="E7" s="35">
        <v>1.0</v>
      </c>
      <c r="F7" s="35">
        <v>1.82</v>
      </c>
      <c r="G7" s="35">
        <v>2.82</v>
      </c>
      <c r="H7" s="36" t="s">
        <v>179</v>
      </c>
      <c r="I7" s="35">
        <v>1.0</v>
      </c>
      <c r="J7" s="35">
        <v>0.83</v>
      </c>
      <c r="K7" s="35">
        <v>1.83</v>
      </c>
      <c r="L7" s="36" t="s">
        <v>179</v>
      </c>
      <c r="M7" s="35">
        <v>1.0</v>
      </c>
      <c r="N7" s="35">
        <v>3.0</v>
      </c>
      <c r="O7" s="37">
        <v>4.0</v>
      </c>
      <c r="P7" s="23">
        <f t="shared" si="0"/>
        <v>0.6209637357178339</v>
      </c>
      <c r="Q7" s="23">
        <f t="shared" si="1"/>
        <v>0.7145316804407713</v>
      </c>
      <c r="R7" s="23">
        <f t="shared" si="2"/>
        <v>0.8650519031141868</v>
      </c>
      <c r="S7" s="23">
        <f t="shared" si="3"/>
        <v>1.8815855494229803</v>
      </c>
      <c r="T7" s="23">
        <f t="shared" si="4"/>
        <v>0.0</v>
      </c>
      <c r="U7" s="23"/>
      <c r="V7" s="38">
        <f t="shared" si="5"/>
        <v>2.915</v>
      </c>
      <c r="W7" s="7"/>
      <c r="X7" s="7"/>
      <c r="Y7" s="7"/>
      <c r="Z7" s="7"/>
      <c r="AA7" s="4"/>
      <c r="AB7" s="4" t="s">
        <v>22</v>
      </c>
      <c r="AC7" s="4"/>
      <c r="AD7" s="24">
        <v>0.25</v>
      </c>
      <c r="AE7" s="4" t="s">
        <v>11</v>
      </c>
      <c r="AF7" s="24">
        <v>0.35</v>
      </c>
      <c r="AG7" s="4"/>
      <c r="AH7" s="4"/>
      <c r="AI7" s="4" t="s">
        <v>22</v>
      </c>
      <c r="AJ7" s="4"/>
      <c r="AK7" s="24">
        <v>0.0</v>
      </c>
      <c r="AL7" s="4" t="s">
        <v>11</v>
      </c>
      <c r="AM7" s="24">
        <v>0.52</v>
      </c>
      <c r="AN7" s="18"/>
      <c r="AO7" s="18"/>
    </row>
    <row r="8" spans="8:8" ht="54.0" hidden="1" customHeight="1">
      <c r="A8" s="16"/>
      <c r="B8" s="16"/>
      <c r="C8" s="33" t="s">
        <v>2659</v>
      </c>
      <c r="D8" s="34">
        <v>10.0</v>
      </c>
      <c r="E8" s="35">
        <v>1.4</v>
      </c>
      <c r="F8" s="35">
        <v>1.3</v>
      </c>
      <c r="G8" s="35">
        <v>2.7</v>
      </c>
      <c r="H8" s="36" t="s">
        <v>179</v>
      </c>
      <c r="I8" s="35">
        <v>2.4</v>
      </c>
      <c r="J8" s="35">
        <v>0.8</v>
      </c>
      <c r="K8" s="35">
        <v>3.2</v>
      </c>
      <c r="L8" s="36" t="s">
        <v>179</v>
      </c>
      <c r="M8" s="35">
        <v>0.4</v>
      </c>
      <c r="N8" s="35">
        <v>1.8</v>
      </c>
      <c r="O8" s="37">
        <v>2.2</v>
      </c>
      <c r="P8" s="15">
        <f t="shared" si="0"/>
        <v>1.4903129657228016</v>
      </c>
      <c r="Q8" s="15">
        <f t="shared" si="1"/>
        <v>0.6887052341597797</v>
      </c>
      <c r="R8" s="15">
        <f t="shared" si="2"/>
        <v>0.3460207612456747</v>
      </c>
      <c r="S8" s="15">
        <f t="shared" si="3"/>
        <v>1.1289513296537883</v>
      </c>
      <c r="T8" s="15">
        <f t="shared" si="4"/>
        <v>0.2</v>
      </c>
      <c r="U8" s="15"/>
      <c r="V8" s="31">
        <f t="shared" si="5"/>
        <v>2.7</v>
      </c>
      <c r="W8" s="3"/>
      <c r="X8" s="3"/>
      <c r="Y8" s="3"/>
      <c r="Z8" s="3"/>
      <c r="AA8" s="16"/>
      <c r="AB8" s="16" t="s">
        <v>24</v>
      </c>
      <c r="AC8" s="16"/>
      <c r="AD8" s="16">
        <v>1.75</v>
      </c>
      <c r="AE8" s="16" t="s">
        <v>11</v>
      </c>
      <c r="AF8" s="16">
        <v>1.97</v>
      </c>
      <c r="AG8" s="16"/>
      <c r="AH8" s="16"/>
      <c r="AI8" s="16" t="s">
        <v>24</v>
      </c>
      <c r="AJ8" s="16" t="s">
        <v>11</v>
      </c>
      <c r="AK8" s="17">
        <v>1.8</v>
      </c>
      <c r="AL8" s="16"/>
      <c r="AM8" s="17">
        <v>1.2</v>
      </c>
      <c r="AN8" s="18"/>
      <c r="AO8" s="18"/>
    </row>
    <row r="9" spans="8:8" ht="45.0" hidden="1" customHeight="1">
      <c r="A9" s="4"/>
      <c r="B9" s="4"/>
      <c r="C9" s="33" t="s">
        <v>2660</v>
      </c>
      <c r="D9" s="34">
        <v>10.0</v>
      </c>
      <c r="E9" s="35">
        <v>1.8</v>
      </c>
      <c r="F9" s="35">
        <v>1.7</v>
      </c>
      <c r="G9" s="35">
        <v>3.5</v>
      </c>
      <c r="H9" s="36" t="s">
        <v>179</v>
      </c>
      <c r="I9" s="35">
        <v>2.5</v>
      </c>
      <c r="J9" s="35">
        <v>1.5</v>
      </c>
      <c r="K9" s="35">
        <v>4.0</v>
      </c>
      <c r="L9" s="36" t="s">
        <v>179</v>
      </c>
      <c r="M9" s="35">
        <v>1.33</v>
      </c>
      <c r="N9" s="35">
        <v>1.83</v>
      </c>
      <c r="O9" s="37">
        <v>3.17</v>
      </c>
      <c r="P9" s="23">
        <f t="shared" si="0"/>
        <v>1.552409339294585</v>
      </c>
      <c r="Q9" s="23">
        <f t="shared" si="1"/>
        <v>1.2913223140495869</v>
      </c>
      <c r="R9" s="23">
        <f t="shared" si="2"/>
        <v>1.1505190311418685</v>
      </c>
      <c r="S9" s="23">
        <f t="shared" si="3"/>
        <v>1.147767185148018</v>
      </c>
      <c r="T9" s="23">
        <f t="shared" si="4"/>
        <v>0.11699999999999999</v>
      </c>
      <c r="U9" s="23"/>
      <c r="V9" s="38">
        <f t="shared" si="5"/>
        <v>3.585</v>
      </c>
      <c r="W9" s="7"/>
      <c r="X9" s="7"/>
      <c r="Y9" s="7"/>
      <c r="Z9" s="7"/>
      <c r="AA9" s="4"/>
      <c r="AB9" s="4" t="s">
        <v>26</v>
      </c>
      <c r="AC9" s="4"/>
      <c r="AD9" s="4">
        <v>1.25</v>
      </c>
      <c r="AE9" s="4" t="s">
        <v>11</v>
      </c>
      <c r="AF9" s="4">
        <v>1.57</v>
      </c>
      <c r="AG9" s="4"/>
      <c r="AH9" s="4"/>
      <c r="AI9" s="4" t="s">
        <v>26</v>
      </c>
      <c r="AJ9" s="4"/>
      <c r="AK9" s="39">
        <v>0.4</v>
      </c>
      <c r="AL9" s="4" t="s">
        <v>11</v>
      </c>
      <c r="AM9" s="4">
        <v>1.57</v>
      </c>
      <c r="AN9" s="18"/>
      <c r="AO9" s="18"/>
    </row>
    <row r="10" spans="8:8" ht="48.45" hidden="1" customHeight="1">
      <c r="A10" s="16" t="str">
        <f>IF(B10&gt;AVERAGE(D6:D42),"no","yes")</f>
        <v>no</v>
      </c>
      <c r="B10" s="16">
        <f>ROUND(((COUNTA(C6:C42)-1)*((COUNTA(C6:C42)-1)*2))/38,0)</f>
        <v>30.0</v>
      </c>
      <c r="C10" s="33" t="s">
        <v>2661</v>
      </c>
      <c r="D10" s="34">
        <v>11.0</v>
      </c>
      <c r="E10" s="35">
        <v>1.09</v>
      </c>
      <c r="F10" s="35">
        <v>0.91</v>
      </c>
      <c r="G10" s="35">
        <v>2.0</v>
      </c>
      <c r="H10" s="36" t="s">
        <v>179</v>
      </c>
      <c r="I10" s="35">
        <v>1.8</v>
      </c>
      <c r="J10" s="35">
        <v>0.4</v>
      </c>
      <c r="K10" s="35">
        <v>2.2</v>
      </c>
      <c r="L10" s="36" t="s">
        <v>179</v>
      </c>
      <c r="M10" s="35">
        <v>0.5</v>
      </c>
      <c r="N10" s="35">
        <v>1.33</v>
      </c>
      <c r="O10" s="37">
        <v>1.83</v>
      </c>
      <c r="P10" s="15">
        <f t="shared" si="0"/>
        <v>1.1177347242921012</v>
      </c>
      <c r="Q10" s="15">
        <f t="shared" si="1"/>
        <v>0.34435261707988984</v>
      </c>
      <c r="R10" s="15">
        <f t="shared" si="2"/>
        <v>0.4325259515570934</v>
      </c>
      <c r="S10" s="15">
        <f t="shared" si="3"/>
        <v>0.8341695935775213</v>
      </c>
      <c r="T10" s="15">
        <f t="shared" si="4"/>
        <v>0.11818181818181818</v>
      </c>
      <c r="U10" s="15"/>
      <c r="V10" s="31">
        <f t="shared" si="5"/>
        <v>2.015</v>
      </c>
      <c r="W10" s="3"/>
      <c r="X10" s="3"/>
      <c r="Y10" s="3"/>
      <c r="Z10" s="3"/>
      <c r="AA10" s="16"/>
      <c r="AB10" s="16" t="s">
        <v>28</v>
      </c>
      <c r="AC10" s="16" t="s">
        <v>11</v>
      </c>
      <c r="AD10" s="32">
        <v>0.5</v>
      </c>
      <c r="AE10" s="16"/>
      <c r="AF10" s="32">
        <v>0.26</v>
      </c>
      <c r="AG10" s="16"/>
      <c r="AH10" s="16"/>
      <c r="AI10" s="16" t="s">
        <v>28</v>
      </c>
      <c r="AJ10" s="16" t="s">
        <v>11</v>
      </c>
      <c r="AK10" s="32">
        <v>0.6</v>
      </c>
      <c r="AL10" s="16"/>
      <c r="AM10" s="32">
        <v>0.24</v>
      </c>
      <c r="AN10" s="18"/>
      <c r="AO10" s="18"/>
    </row>
    <row r="11" spans="8:8" ht="40.9" hidden="1" customHeight="1">
      <c r="A11" s="4"/>
      <c r="B11" s="4"/>
      <c r="C11" s="33" t="s">
        <v>2662</v>
      </c>
      <c r="D11" s="34">
        <v>10.0</v>
      </c>
      <c r="E11" s="35">
        <v>2.1</v>
      </c>
      <c r="F11" s="35">
        <v>2.0</v>
      </c>
      <c r="G11" s="35">
        <v>4.1</v>
      </c>
      <c r="H11" s="36" t="s">
        <v>179</v>
      </c>
      <c r="I11" s="35">
        <v>1.8</v>
      </c>
      <c r="J11" s="35">
        <v>3.0</v>
      </c>
      <c r="K11" s="35">
        <v>4.8</v>
      </c>
      <c r="L11" s="36" t="s">
        <v>179</v>
      </c>
      <c r="M11" s="35">
        <v>2.4</v>
      </c>
      <c r="N11" s="35">
        <v>1.0</v>
      </c>
      <c r="O11" s="37">
        <v>3.4</v>
      </c>
      <c r="P11" s="23">
        <f t="shared" si="0"/>
        <v>1.1177347242921012</v>
      </c>
      <c r="Q11" s="23">
        <f t="shared" si="1"/>
        <v>2.5826446280991737</v>
      </c>
      <c r="R11" s="23">
        <f t="shared" si="2"/>
        <v>2.0761245674740483</v>
      </c>
      <c r="S11" s="23">
        <f t="shared" si="3"/>
        <v>0.6271951831409934</v>
      </c>
      <c r="T11" s="23">
        <f t="shared" si="4"/>
        <v>0.0</v>
      </c>
      <c r="U11" s="23"/>
      <c r="V11" s="38">
        <f t="shared" si="5"/>
        <v>4.1</v>
      </c>
      <c r="W11" s="7"/>
      <c r="X11" s="7"/>
      <c r="Y11" s="7"/>
      <c r="Z11" s="7"/>
      <c r="AA11" s="4"/>
      <c r="AB11" s="4" t="s">
        <v>30</v>
      </c>
      <c r="AC11" s="4"/>
      <c r="AD11" s="24">
        <v>0.0</v>
      </c>
      <c r="AE11" s="4" t="s">
        <v>11</v>
      </c>
      <c r="AF11" s="24">
        <v>0.14</v>
      </c>
      <c r="AG11" s="4"/>
      <c r="AH11" s="4"/>
      <c r="AI11" s="4" t="s">
        <v>30</v>
      </c>
      <c r="AJ11" s="4"/>
      <c r="AK11" s="24">
        <v>0.0</v>
      </c>
      <c r="AL11" s="4" t="s">
        <v>11</v>
      </c>
      <c r="AM11" s="24">
        <v>0.34</v>
      </c>
      <c r="AN11" s="18"/>
      <c r="AO11" s="18"/>
    </row>
    <row r="12" spans="8:8" ht="50.05" hidden="1" customHeight="1">
      <c r="A12" s="16"/>
      <c r="B12" s="16"/>
      <c r="C12" s="33" t="s">
        <v>2663</v>
      </c>
      <c r="D12" s="34">
        <v>10.0</v>
      </c>
      <c r="E12" s="35">
        <v>1.3</v>
      </c>
      <c r="F12" s="35">
        <v>0.9</v>
      </c>
      <c r="G12" s="35">
        <v>2.2</v>
      </c>
      <c r="H12" s="36" t="s">
        <v>179</v>
      </c>
      <c r="I12" s="35">
        <v>1.2</v>
      </c>
      <c r="J12" s="35">
        <v>0.8</v>
      </c>
      <c r="K12" s="35">
        <v>2.0</v>
      </c>
      <c r="L12" s="36" t="s">
        <v>179</v>
      </c>
      <c r="M12" s="35">
        <v>1.4</v>
      </c>
      <c r="N12" s="35">
        <v>1.0</v>
      </c>
      <c r="O12" s="37">
        <v>2.4</v>
      </c>
      <c r="P12" s="15">
        <f t="shared" si="0"/>
        <v>0.7451564828614008</v>
      </c>
      <c r="Q12" s="15">
        <f t="shared" si="1"/>
        <v>0.6887052341597797</v>
      </c>
      <c r="R12" s="15">
        <f t="shared" si="2"/>
        <v>1.2110726643598613</v>
      </c>
      <c r="S12" s="15">
        <f t="shared" si="3"/>
        <v>0.6271951831409934</v>
      </c>
      <c r="T12" s="15">
        <f t="shared" si="4"/>
        <v>0.0</v>
      </c>
      <c r="U12" s="15"/>
      <c r="V12" s="31">
        <f t="shared" si="5"/>
        <v>2.2</v>
      </c>
      <c r="W12" s="3"/>
      <c r="X12" s="3"/>
      <c r="Y12" s="3"/>
      <c r="Z12" s="3"/>
      <c r="AA12" s="16"/>
      <c r="AB12" s="16" t="s">
        <v>32</v>
      </c>
      <c r="AC12" s="16" t="s">
        <v>11</v>
      </c>
      <c r="AD12" s="32">
        <v>0.5</v>
      </c>
      <c r="AE12" s="16"/>
      <c r="AF12" s="32">
        <v>0.24</v>
      </c>
      <c r="AG12" s="16"/>
      <c r="AH12" s="16"/>
      <c r="AI12" s="16" t="s">
        <v>32</v>
      </c>
      <c r="AJ12" s="16" t="s">
        <v>11</v>
      </c>
      <c r="AK12" s="32">
        <v>0.6</v>
      </c>
      <c r="AL12" s="16"/>
      <c r="AM12" s="32">
        <v>0.17</v>
      </c>
      <c r="AN12" s="18"/>
      <c r="AO12" s="18"/>
    </row>
    <row r="13" spans="8:8" ht="29.6" hidden="1" customHeight="1">
      <c r="A13" s="4"/>
      <c r="B13" s="4"/>
      <c r="C13" s="33" t="s">
        <v>2664</v>
      </c>
      <c r="D13" s="34">
        <v>10.0</v>
      </c>
      <c r="E13" s="35">
        <v>0.9</v>
      </c>
      <c r="F13" s="35">
        <v>1.0</v>
      </c>
      <c r="G13" s="35">
        <v>1.9</v>
      </c>
      <c r="H13" s="36" t="s">
        <v>179</v>
      </c>
      <c r="I13" s="35">
        <v>0.8</v>
      </c>
      <c r="J13" s="35">
        <v>1.4</v>
      </c>
      <c r="K13" s="35">
        <v>2.2</v>
      </c>
      <c r="L13" s="36" t="s">
        <v>179</v>
      </c>
      <c r="M13" s="35">
        <v>1.0</v>
      </c>
      <c r="N13" s="35">
        <v>0.6</v>
      </c>
      <c r="O13" s="37">
        <v>1.6</v>
      </c>
      <c r="P13" s="23">
        <f t="shared" si="0"/>
        <v>0.4967709885742672</v>
      </c>
      <c r="Q13" s="23">
        <f t="shared" si="1"/>
        <v>1.2052341597796143</v>
      </c>
      <c r="R13" s="23">
        <f t="shared" si="2"/>
        <v>0.8650519031141868</v>
      </c>
      <c r="S13" s="23">
        <f t="shared" si="3"/>
        <v>0.37631710988459605</v>
      </c>
      <c r="T13" s="23">
        <f t="shared" si="4"/>
        <v>0.0</v>
      </c>
      <c r="U13" s="23"/>
      <c r="V13" s="38">
        <f t="shared" si="5"/>
        <v>1.9000000000000001</v>
      </c>
      <c r="W13" s="7"/>
      <c r="X13" s="7"/>
      <c r="Y13" s="7"/>
      <c r="Z13" s="7"/>
      <c r="AA13" s="4"/>
      <c r="AB13" s="4" t="s">
        <v>34</v>
      </c>
      <c r="AC13" s="4"/>
      <c r="AD13" s="24">
        <v>0.0</v>
      </c>
      <c r="AE13" s="4" t="s">
        <v>11</v>
      </c>
      <c r="AF13" s="24">
        <v>0.11</v>
      </c>
      <c r="AG13" s="4"/>
      <c r="AH13" s="4"/>
      <c r="AI13" s="4" t="s">
        <v>34</v>
      </c>
      <c r="AJ13" s="4"/>
      <c r="AK13" s="24">
        <v>0.0</v>
      </c>
      <c r="AL13" s="4" t="s">
        <v>11</v>
      </c>
      <c r="AM13" s="24">
        <v>0.27</v>
      </c>
      <c r="AN13" s="18"/>
      <c r="AO13" s="18"/>
    </row>
    <row r="14" spans="8:8" ht="59.75" hidden="1" customHeight="1">
      <c r="A14" s="16"/>
      <c r="B14" s="16"/>
      <c r="C14" s="33" t="s">
        <v>2665</v>
      </c>
      <c r="D14" s="34">
        <v>10.0</v>
      </c>
      <c r="E14" s="35">
        <v>1.6</v>
      </c>
      <c r="F14" s="35">
        <v>1.1</v>
      </c>
      <c r="G14" s="35">
        <v>2.7</v>
      </c>
      <c r="H14" s="36" t="s">
        <v>179</v>
      </c>
      <c r="I14" s="35">
        <v>2.0</v>
      </c>
      <c r="J14" s="35">
        <v>0.83</v>
      </c>
      <c r="K14" s="35">
        <v>2.83</v>
      </c>
      <c r="L14" s="36" t="s">
        <v>179</v>
      </c>
      <c r="M14" s="35">
        <v>1.0</v>
      </c>
      <c r="N14" s="35">
        <v>1.5</v>
      </c>
      <c r="O14" s="37">
        <v>2.5</v>
      </c>
      <c r="P14" s="15">
        <f t="shared" si="0"/>
        <v>1.2419274714356678</v>
      </c>
      <c r="Q14" s="15">
        <f t="shared" si="1"/>
        <v>0.7145316804407713</v>
      </c>
      <c r="R14" s="15">
        <f t="shared" si="2"/>
        <v>0.8650519031141868</v>
      </c>
      <c r="S14" s="15">
        <f t="shared" si="3"/>
        <v>0.9407927747114901</v>
      </c>
      <c r="T14" s="15">
        <f t="shared" si="4"/>
        <v>0.1</v>
      </c>
      <c r="U14" s="15"/>
      <c r="V14" s="31">
        <f t="shared" si="5"/>
        <v>2.665</v>
      </c>
      <c r="W14" s="3"/>
      <c r="X14" s="3"/>
      <c r="Y14" s="3"/>
      <c r="Z14" s="3"/>
      <c r="AA14" s="16"/>
      <c r="AB14" s="16" t="s">
        <v>36</v>
      </c>
      <c r="AC14" s="16"/>
      <c r="AD14" s="17">
        <v>3.0</v>
      </c>
      <c r="AE14" s="16" t="s">
        <v>11</v>
      </c>
      <c r="AF14" s="16">
        <v>3.54</v>
      </c>
      <c r="AG14" s="16"/>
      <c r="AH14" s="16"/>
      <c r="AI14" s="16" t="s">
        <v>37</v>
      </c>
      <c r="AJ14" s="16" t="s">
        <v>11</v>
      </c>
      <c r="AK14" s="32">
        <v>1.0</v>
      </c>
      <c r="AL14" s="16"/>
      <c r="AM14" s="32">
        <v>0.36</v>
      </c>
      <c r="AN14" s="18"/>
      <c r="AO14" s="18"/>
    </row>
    <row r="15" spans="8:8" ht="71.6" hidden="1" customHeight="1">
      <c r="A15" s="4"/>
      <c r="B15" s="4"/>
      <c r="C15" s="33" t="s">
        <v>2666</v>
      </c>
      <c r="D15" s="34">
        <v>11.0</v>
      </c>
      <c r="E15" s="35">
        <v>1.45</v>
      </c>
      <c r="F15" s="35">
        <v>1.73</v>
      </c>
      <c r="G15" s="35">
        <v>3.18</v>
      </c>
      <c r="H15" s="36" t="s">
        <v>179</v>
      </c>
      <c r="I15" s="35">
        <v>1.2</v>
      </c>
      <c r="J15" s="35">
        <v>0.4</v>
      </c>
      <c r="K15" s="35">
        <v>1.6</v>
      </c>
      <c r="L15" s="36" t="s">
        <v>179</v>
      </c>
      <c r="M15" s="35">
        <v>1.67</v>
      </c>
      <c r="N15" s="35">
        <v>2.83</v>
      </c>
      <c r="O15" s="37">
        <v>4.5</v>
      </c>
      <c r="P15" s="23">
        <f t="shared" si="0"/>
        <v>0.7451564828614008</v>
      </c>
      <c r="Q15" s="23">
        <f t="shared" si="1"/>
        <v>0.34435261707988984</v>
      </c>
      <c r="R15" s="23">
        <f t="shared" si="2"/>
        <v>1.4446366782006919</v>
      </c>
      <c r="S15" s="23">
        <f t="shared" si="3"/>
        <v>1.7749623682890114</v>
      </c>
      <c r="T15" s="23">
        <f t="shared" si="4"/>
        <v>0.0</v>
      </c>
      <c r="U15" s="23"/>
      <c r="V15" s="38">
        <f t="shared" si="5"/>
        <v>3.05</v>
      </c>
      <c r="W15" s="7"/>
      <c r="X15" s="7"/>
      <c r="Y15" s="7"/>
      <c r="Z15" s="7"/>
      <c r="AA15" s="4"/>
      <c r="AB15" s="4" t="s">
        <v>39</v>
      </c>
      <c r="AC15" s="4"/>
      <c r="AD15" s="24">
        <v>0.75</v>
      </c>
      <c r="AE15" s="4" t="s">
        <v>11</v>
      </c>
      <c r="AF15" s="24">
        <v>0.88</v>
      </c>
      <c r="AG15" s="4"/>
      <c r="AH15" s="4"/>
      <c r="AI15" s="4" t="s">
        <v>40</v>
      </c>
      <c r="AJ15" s="4"/>
      <c r="AK15" s="24">
        <v>0.0</v>
      </c>
      <c r="AL15" s="4" t="s">
        <v>11</v>
      </c>
      <c r="AM15" s="24">
        <v>0.57</v>
      </c>
      <c r="AN15" s="18"/>
      <c r="AO15" s="18"/>
    </row>
    <row r="16" spans="8:8" ht="79.65" hidden="1" customHeight="1">
      <c r="A16" s="16"/>
      <c r="B16" s="16"/>
      <c r="C16" s="33" t="s">
        <v>2667</v>
      </c>
      <c r="D16" s="34">
        <v>11.0</v>
      </c>
      <c r="E16" s="35">
        <v>1.36</v>
      </c>
      <c r="F16" s="35">
        <v>1.36</v>
      </c>
      <c r="G16" s="35">
        <v>2.73</v>
      </c>
      <c r="H16" s="36" t="s">
        <v>179</v>
      </c>
      <c r="I16" s="35">
        <v>1.6</v>
      </c>
      <c r="J16" s="35">
        <v>1.2</v>
      </c>
      <c r="K16" s="35">
        <v>2.8</v>
      </c>
      <c r="L16" s="36" t="s">
        <v>179</v>
      </c>
      <c r="M16" s="35">
        <v>1.17</v>
      </c>
      <c r="N16" s="35">
        <v>1.5</v>
      </c>
      <c r="O16" s="37">
        <v>2.67</v>
      </c>
      <c r="P16" s="15">
        <f t="shared" si="0"/>
        <v>0.9935419771485344</v>
      </c>
      <c r="Q16" s="15">
        <f t="shared" si="1"/>
        <v>1.0330578512396693</v>
      </c>
      <c r="R16" s="15">
        <f t="shared" si="2"/>
        <v>1.0121107266435985</v>
      </c>
      <c r="S16" s="15">
        <f t="shared" si="3"/>
        <v>0.9407927747114901</v>
      </c>
      <c r="T16" s="15">
        <f t="shared" si="4"/>
        <v>0.03909090909090911</v>
      </c>
      <c r="U16" s="15"/>
      <c r="V16" s="31">
        <f t="shared" si="5"/>
        <v>2.735</v>
      </c>
      <c r="W16" s="3"/>
      <c r="X16" s="3"/>
      <c r="Y16" s="3"/>
      <c r="Z16" s="3"/>
      <c r="AA16" s="16"/>
      <c r="AB16" s="16" t="s">
        <v>42</v>
      </c>
      <c r="AC16" s="16"/>
      <c r="AD16" s="32">
        <v>0.5</v>
      </c>
      <c r="AE16" s="16" t="s">
        <v>11</v>
      </c>
      <c r="AF16" s="32">
        <v>0.74</v>
      </c>
      <c r="AG16" s="16"/>
      <c r="AH16" s="16"/>
      <c r="AI16" s="16" t="s">
        <v>36</v>
      </c>
      <c r="AJ16" s="16"/>
      <c r="AK16" s="17">
        <v>2.2</v>
      </c>
      <c r="AL16" s="16" t="s">
        <v>11</v>
      </c>
      <c r="AM16" s="16">
        <v>2.77</v>
      </c>
      <c r="AN16" s="18"/>
      <c r="AO16" s="18"/>
    </row>
    <row r="17" spans="8:8" ht="57.05" hidden="1" customHeight="1">
      <c r="A17" s="4"/>
      <c r="B17" s="4"/>
      <c r="C17" s="33" t="s">
        <v>2668</v>
      </c>
      <c r="D17" s="34">
        <v>10.0</v>
      </c>
      <c r="E17" s="35">
        <v>1.2</v>
      </c>
      <c r="F17" s="35">
        <v>1.7</v>
      </c>
      <c r="G17" s="35">
        <v>2.9</v>
      </c>
      <c r="H17" s="36" t="s">
        <v>179</v>
      </c>
      <c r="I17" s="35">
        <v>1.5</v>
      </c>
      <c r="J17" s="35">
        <v>1.67</v>
      </c>
      <c r="K17" s="35">
        <v>3.17</v>
      </c>
      <c r="L17" s="36" t="s">
        <v>179</v>
      </c>
      <c r="M17" s="35">
        <v>0.75</v>
      </c>
      <c r="N17" s="35">
        <v>1.75</v>
      </c>
      <c r="O17" s="37">
        <v>2.5</v>
      </c>
      <c r="P17" s="23">
        <f t="shared" si="0"/>
        <v>0.931445603576751</v>
      </c>
      <c r="Q17" s="23">
        <f t="shared" si="1"/>
        <v>1.4376721763085398</v>
      </c>
      <c r="R17" s="23">
        <f t="shared" si="2"/>
        <v>0.6487889273356401</v>
      </c>
      <c r="S17" s="23">
        <f t="shared" si="3"/>
        <v>1.0975915704967385</v>
      </c>
      <c r="T17" s="23">
        <f t="shared" si="4"/>
        <v>0.075</v>
      </c>
      <c r="U17" s="23"/>
      <c r="V17" s="38">
        <f t="shared" si="5"/>
        <v>2.835</v>
      </c>
      <c r="W17" s="7"/>
      <c r="X17" s="7"/>
      <c r="Y17" s="7"/>
      <c r="Z17" s="7"/>
      <c r="AA17" s="4"/>
      <c r="AB17" s="4" t="s">
        <v>44</v>
      </c>
      <c r="AC17" s="4"/>
      <c r="AD17" s="24">
        <v>0.25</v>
      </c>
      <c r="AE17" s="4" t="s">
        <v>11</v>
      </c>
      <c r="AF17" s="24">
        <v>0.51</v>
      </c>
      <c r="AG17" s="4"/>
      <c r="AH17" s="4"/>
      <c r="AI17" s="4" t="s">
        <v>39</v>
      </c>
      <c r="AJ17" s="4" t="s">
        <v>11</v>
      </c>
      <c r="AK17" s="24">
        <v>0.8</v>
      </c>
      <c r="AL17" s="4"/>
      <c r="AM17" s="24">
        <v>0.76</v>
      </c>
      <c r="AN17" s="18"/>
      <c r="AO17" s="18"/>
    </row>
    <row r="18" spans="8:8" ht="30.65" hidden="1" customHeight="1">
      <c r="A18" s="16"/>
      <c r="B18" s="16"/>
      <c r="C18" s="33" t="s">
        <v>2669</v>
      </c>
      <c r="D18" s="34">
        <v>12.0</v>
      </c>
      <c r="E18" s="35">
        <v>1.67</v>
      </c>
      <c r="F18" s="35">
        <v>1.67</v>
      </c>
      <c r="G18" s="35">
        <v>3.33</v>
      </c>
      <c r="H18" s="40" t="s">
        <v>179</v>
      </c>
      <c r="I18" s="35">
        <v>1.5</v>
      </c>
      <c r="J18" s="35">
        <v>1.5</v>
      </c>
      <c r="K18" s="35">
        <v>3.0</v>
      </c>
      <c r="L18" s="36" t="s">
        <v>179</v>
      </c>
      <c r="M18" s="35">
        <v>1.83</v>
      </c>
      <c r="N18" s="35">
        <v>1.83</v>
      </c>
      <c r="O18" s="37">
        <v>3.67</v>
      </c>
      <c r="P18" s="15">
        <f t="shared" si="0"/>
        <v>0.931445603576751</v>
      </c>
      <c r="Q18" s="15">
        <f t="shared" si="1"/>
        <v>1.2913223140495869</v>
      </c>
      <c r="R18" s="15">
        <f t="shared" si="2"/>
        <v>1.5830449826989619</v>
      </c>
      <c r="S18" s="15">
        <f t="shared" si="3"/>
        <v>1.147767185148018</v>
      </c>
      <c r="T18" s="15">
        <f t="shared" si="4"/>
        <v>0.0</v>
      </c>
      <c r="U18" s="15"/>
      <c r="V18" s="31">
        <f t="shared" si="5"/>
        <v>3.335</v>
      </c>
      <c r="W18" s="3"/>
      <c r="X18" s="3"/>
      <c r="Y18" s="3"/>
      <c r="Z18" s="3"/>
      <c r="AA18" s="16"/>
      <c r="AB18" s="16" t="s">
        <v>46</v>
      </c>
      <c r="AC18" s="16"/>
      <c r="AD18" s="32">
        <v>0.5</v>
      </c>
      <c r="AE18" s="16" t="s">
        <v>11</v>
      </c>
      <c r="AF18" s="32">
        <v>0.62</v>
      </c>
      <c r="AG18" s="16"/>
      <c r="AH18" s="16"/>
      <c r="AI18" s="16" t="s">
        <v>42</v>
      </c>
      <c r="AJ18" s="16"/>
      <c r="AK18" s="32">
        <v>0.4</v>
      </c>
      <c r="AL18" s="16" t="s">
        <v>11</v>
      </c>
      <c r="AM18" s="32">
        <v>0.55</v>
      </c>
      <c r="AN18" s="18"/>
      <c r="AO18" s="18"/>
    </row>
    <row r="19" spans="8:8" ht="48.45" hidden="1" customHeight="1">
      <c r="A19" s="4"/>
      <c r="B19" s="4"/>
      <c r="C19" s="33" t="s">
        <v>2670</v>
      </c>
      <c r="D19" s="34">
        <v>12.0</v>
      </c>
      <c r="E19" s="35">
        <v>1.25</v>
      </c>
      <c r="F19" s="35">
        <v>1.58</v>
      </c>
      <c r="G19" s="35">
        <v>2.83</v>
      </c>
      <c r="H19" s="40" t="s">
        <v>179</v>
      </c>
      <c r="I19" s="35">
        <v>1.8</v>
      </c>
      <c r="J19" s="35">
        <v>1.8</v>
      </c>
      <c r="K19" s="35">
        <v>3.6</v>
      </c>
      <c r="L19" s="36" t="s">
        <v>179</v>
      </c>
      <c r="M19" s="35">
        <v>0.86</v>
      </c>
      <c r="N19" s="35">
        <v>1.43</v>
      </c>
      <c r="O19" s="37">
        <v>2.29</v>
      </c>
      <c r="P19" s="23">
        <f t="shared" si="0"/>
        <v>1.1177347242921012</v>
      </c>
      <c r="Q19" s="23">
        <f t="shared" si="1"/>
        <v>1.5495867768595042</v>
      </c>
      <c r="R19" s="23">
        <f t="shared" si="2"/>
        <v>0.7439446366782005</v>
      </c>
      <c r="S19" s="23">
        <f t="shared" si="3"/>
        <v>0.8968891118916206</v>
      </c>
      <c r="T19" s="23">
        <f t="shared" si="4"/>
        <v>0.07833333333333334</v>
      </c>
      <c r="U19" s="23"/>
      <c r="V19" s="38">
        <f t="shared" si="5"/>
        <v>2.9450000000000003</v>
      </c>
      <c r="W19" s="7"/>
      <c r="X19" s="7"/>
      <c r="Y19" s="7"/>
      <c r="Z19" s="7"/>
      <c r="AA19" s="4"/>
      <c r="AB19" s="4" t="s">
        <v>37</v>
      </c>
      <c r="AC19" s="4"/>
      <c r="AD19" s="24">
        <v>0.5</v>
      </c>
      <c r="AE19" s="4" t="s">
        <v>11</v>
      </c>
      <c r="AF19" s="24">
        <v>0.56</v>
      </c>
      <c r="AG19" s="4"/>
      <c r="AH19" s="4"/>
      <c r="AI19" s="4" t="s">
        <v>44</v>
      </c>
      <c r="AJ19" s="4"/>
      <c r="AK19" s="24">
        <v>0.0</v>
      </c>
      <c r="AL19" s="4" t="s">
        <v>11</v>
      </c>
      <c r="AM19" s="24">
        <v>0.29</v>
      </c>
      <c r="AN19" s="18"/>
      <c r="AO19" s="18"/>
    </row>
    <row r="20" spans="8:8" ht="186.8" hidden="1" customHeight="1">
      <c r="A20" s="16"/>
      <c r="B20" s="16"/>
      <c r="C20" s="41" t="s">
        <v>2671</v>
      </c>
      <c r="D20" s="42">
        <v>11.0</v>
      </c>
      <c r="E20" s="43">
        <v>1.0</v>
      </c>
      <c r="F20" s="43">
        <v>1.73</v>
      </c>
      <c r="G20" s="43">
        <v>2.73</v>
      </c>
      <c r="H20" s="44" t="s">
        <v>179</v>
      </c>
      <c r="I20" s="43">
        <v>1.17</v>
      </c>
      <c r="J20" s="43">
        <v>1.17</v>
      </c>
      <c r="K20" s="43">
        <v>2.33</v>
      </c>
      <c r="L20" s="44" t="s">
        <v>179</v>
      </c>
      <c r="M20" s="43">
        <v>0.8</v>
      </c>
      <c r="N20" s="43">
        <v>2.4</v>
      </c>
      <c r="O20" s="45">
        <v>3.2</v>
      </c>
      <c r="P20" s="15">
        <f t="shared" si="0"/>
        <v>0.7265275707898657</v>
      </c>
      <c r="Q20" s="15">
        <f t="shared" si="1"/>
        <v>1.0072314049586777</v>
      </c>
      <c r="R20" s="15">
        <f t="shared" si="2"/>
        <v>0.6920415224913494</v>
      </c>
      <c r="S20" s="15">
        <f t="shared" si="3"/>
        <v>1.5052684395383842</v>
      </c>
      <c r="T20" s="15">
        <f t="shared" si="4"/>
        <v>0.033636363636363624</v>
      </c>
      <c r="U20" s="15"/>
      <c r="V20" s="31">
        <f t="shared" si="5"/>
        <v>2.765</v>
      </c>
      <c r="W20" s="3"/>
      <c r="X20" s="3"/>
      <c r="Y20" s="3"/>
      <c r="Z20" s="3"/>
      <c r="AA20" s="16"/>
      <c r="AB20" s="16" t="s">
        <v>40</v>
      </c>
      <c r="AC20" s="16" t="s">
        <v>11</v>
      </c>
      <c r="AD20" s="32">
        <v>0.5</v>
      </c>
      <c r="AE20" s="16"/>
      <c r="AF20" s="32">
        <v>0.42</v>
      </c>
      <c r="AG20" s="16"/>
      <c r="AH20" s="16"/>
      <c r="AI20" s="16" t="s">
        <v>46</v>
      </c>
      <c r="AJ20" s="16"/>
      <c r="AK20" s="32">
        <v>0.4</v>
      </c>
      <c r="AL20" s="16" t="s">
        <v>11</v>
      </c>
      <c r="AM20" s="32">
        <v>0.49</v>
      </c>
      <c r="AN20" s="18"/>
      <c r="AO20" s="18"/>
    </row>
    <row r="21" spans="8:8" ht="52.2" hidden="1" customHeight="1">
      <c r="A21" s="4"/>
      <c r="B21" s="4"/>
      <c r="C21" s="41" t="s">
        <v>2672</v>
      </c>
      <c r="D21" s="42">
        <v>10.0</v>
      </c>
      <c r="E21" s="43">
        <v>1.1</v>
      </c>
      <c r="F21" s="43">
        <v>1.2</v>
      </c>
      <c r="G21" s="43">
        <v>2.3</v>
      </c>
      <c r="H21" s="46" t="s">
        <v>179</v>
      </c>
      <c r="I21" s="43">
        <v>1.8</v>
      </c>
      <c r="J21" s="43">
        <v>1.2</v>
      </c>
      <c r="K21" s="43">
        <v>3.0</v>
      </c>
      <c r="L21" s="44" t="s">
        <v>179</v>
      </c>
      <c r="M21" s="43">
        <v>0.4</v>
      </c>
      <c r="N21" s="43">
        <v>1.2</v>
      </c>
      <c r="O21" s="45">
        <v>1.6</v>
      </c>
      <c r="P21" s="23">
        <f t="shared" si="0"/>
        <v>1.1177347242921012</v>
      </c>
      <c r="Q21" s="23">
        <f t="shared" si="1"/>
        <v>1.0330578512396693</v>
      </c>
      <c r="R21" s="23">
        <f t="shared" si="2"/>
        <v>0.3460207612456747</v>
      </c>
      <c r="S21" s="23">
        <f t="shared" si="3"/>
        <v>0.7526342197691921</v>
      </c>
      <c r="T21" s="23">
        <f t="shared" si="4"/>
        <v>0.13999999999999999</v>
      </c>
      <c r="U21" s="23"/>
      <c r="V21" s="38">
        <f t="shared" si="5"/>
        <v>2.3</v>
      </c>
      <c r="W21" s="7"/>
      <c r="X21" s="7"/>
      <c r="Y21" s="7"/>
      <c r="Z21" s="7"/>
      <c r="AA21" s="4"/>
      <c r="AB21" s="4" t="s">
        <v>48</v>
      </c>
      <c r="AC21" s="4" t="s">
        <v>11</v>
      </c>
      <c r="AD21" s="4">
        <v>48.0</v>
      </c>
      <c r="AE21" s="4"/>
      <c r="AF21" s="4">
        <v>24.0</v>
      </c>
      <c r="AG21" s="4"/>
      <c r="AH21" s="4"/>
      <c r="AI21" s="4"/>
      <c r="AJ21" s="4"/>
      <c r="AK21" s="4"/>
      <c r="AL21" s="4"/>
      <c r="AM21" s="4"/>
      <c r="AN21" s="18"/>
      <c r="AO21" s="18"/>
    </row>
    <row r="22" spans="8:8" ht="39.3" hidden="1" customHeight="1">
      <c r="A22" s="16"/>
      <c r="B22" s="16"/>
      <c r="C22" s="47" t="s">
        <v>2673</v>
      </c>
      <c r="D22" s="42">
        <v>11.0</v>
      </c>
      <c r="E22" s="43">
        <v>1.64</v>
      </c>
      <c r="F22" s="43">
        <v>1.45</v>
      </c>
      <c r="G22" s="43">
        <v>3.09</v>
      </c>
      <c r="H22" s="44" t="s">
        <v>179</v>
      </c>
      <c r="I22" s="43">
        <v>1.5</v>
      </c>
      <c r="J22" s="43">
        <v>1.17</v>
      </c>
      <c r="K22" s="43">
        <v>2.67</v>
      </c>
      <c r="L22" s="44" t="s">
        <v>179</v>
      </c>
      <c r="M22" s="43">
        <v>1.8</v>
      </c>
      <c r="N22" s="43">
        <v>1.8</v>
      </c>
      <c r="O22" s="45">
        <v>3.6</v>
      </c>
      <c r="P22" s="15">
        <f t="shared" si="0"/>
        <v>0.931445603576751</v>
      </c>
      <c r="Q22" s="15">
        <f t="shared" si="1"/>
        <v>1.0072314049586777</v>
      </c>
      <c r="R22" s="15">
        <f t="shared" si="2"/>
        <v>1.5570934256055362</v>
      </c>
      <c r="S22" s="15">
        <f t="shared" si="3"/>
        <v>1.1289513296537883</v>
      </c>
      <c r="T22" s="15">
        <f t="shared" si="4"/>
        <v>0.0</v>
      </c>
      <c r="U22" s="15"/>
      <c r="V22" s="31">
        <f t="shared" si="5"/>
        <v>3.135</v>
      </c>
      <c r="W22" s="3"/>
      <c r="X22" s="3"/>
      <c r="Y22" s="3"/>
      <c r="Z22" s="3"/>
      <c r="AA22" s="16"/>
      <c r="AB22" s="16" t="s">
        <v>49</v>
      </c>
      <c r="AC22" s="16"/>
      <c r="AD22" s="16">
        <v>13.0</v>
      </c>
      <c r="AE22" s="16" t="s">
        <v>11</v>
      </c>
      <c r="AF22" s="16">
        <v>27.0</v>
      </c>
      <c r="AG22" s="16"/>
      <c r="AH22" s="16"/>
      <c r="AI22" s="16"/>
      <c r="AJ22" s="16"/>
      <c r="AK22" s="16"/>
      <c r="AL22" s="16"/>
      <c r="AM22" s="16"/>
      <c r="AN22" s="18"/>
      <c r="AO22" s="18"/>
    </row>
    <row r="23" spans="8:8" ht="25.8" hidden="1" customHeight="1">
      <c r="A23" s="4"/>
      <c r="B23" s="4"/>
      <c r="C23" s="47" t="s">
        <v>2674</v>
      </c>
      <c r="D23" s="42">
        <v>11.0</v>
      </c>
      <c r="E23" s="43">
        <v>1.27</v>
      </c>
      <c r="F23" s="43">
        <v>0.91</v>
      </c>
      <c r="G23" s="43">
        <v>2.18</v>
      </c>
      <c r="H23" s="44" t="s">
        <v>179</v>
      </c>
      <c r="I23" s="43">
        <v>1.17</v>
      </c>
      <c r="J23" s="43">
        <v>0.67</v>
      </c>
      <c r="K23" s="43">
        <v>1.83</v>
      </c>
      <c r="L23" s="44" t="s">
        <v>179</v>
      </c>
      <c r="M23" s="43">
        <v>1.4</v>
      </c>
      <c r="N23" s="43">
        <v>1.2</v>
      </c>
      <c r="O23" s="45">
        <v>2.6</v>
      </c>
      <c r="P23" s="23">
        <f t="shared" si="0"/>
        <v>0.7265275707898657</v>
      </c>
      <c r="Q23" s="23">
        <f t="shared" si="1"/>
        <v>0.5767906336088154</v>
      </c>
      <c r="R23" s="23">
        <f t="shared" si="2"/>
        <v>1.2110726643598613</v>
      </c>
      <c r="S23" s="23">
        <f t="shared" si="3"/>
        <v>0.7526342197691921</v>
      </c>
      <c r="T23" s="23">
        <f t="shared" si="4"/>
        <v>0.0</v>
      </c>
      <c r="U23" s="23"/>
      <c r="V23" s="38">
        <f t="shared" si="5"/>
        <v>2.215</v>
      </c>
      <c r="W23" s="7"/>
      <c r="X23" s="7"/>
      <c r="Y23" s="7"/>
      <c r="Z23" s="7"/>
      <c r="AA23" s="4"/>
      <c r="AB23" s="4" t="s">
        <v>50</v>
      </c>
      <c r="AC23" s="4" t="s">
        <v>11</v>
      </c>
      <c r="AD23" s="24">
        <v>0.75</v>
      </c>
      <c r="AE23" s="4"/>
      <c r="AF23" s="24">
        <v>0.6</v>
      </c>
      <c r="AG23" s="4"/>
      <c r="AH23" s="4"/>
      <c r="AI23" s="4"/>
      <c r="AJ23" s="4"/>
      <c r="AK23" s="4"/>
      <c r="AL23" s="4"/>
      <c r="AM23" s="4"/>
      <c r="AN23" s="18"/>
      <c r="AO23" s="18"/>
    </row>
    <row r="24" spans="8:8" ht="13.95" hidden="1" customHeight="1">
      <c r="A24" s="16"/>
      <c r="B24" s="16"/>
      <c r="C24" s="47" t="s">
        <v>2675</v>
      </c>
      <c r="D24" s="42">
        <v>11.0</v>
      </c>
      <c r="E24" s="43">
        <v>1.36</v>
      </c>
      <c r="F24" s="43">
        <v>1.09</v>
      </c>
      <c r="G24" s="43">
        <v>2.45</v>
      </c>
      <c r="H24" s="44" t="s">
        <v>179</v>
      </c>
      <c r="I24" s="43">
        <v>1.8</v>
      </c>
      <c r="J24" s="43">
        <v>0.8</v>
      </c>
      <c r="K24" s="43">
        <v>2.6</v>
      </c>
      <c r="L24" s="44" t="s">
        <v>179</v>
      </c>
      <c r="M24" s="43">
        <v>1.0</v>
      </c>
      <c r="N24" s="43">
        <v>1.33</v>
      </c>
      <c r="O24" s="45">
        <v>2.33</v>
      </c>
      <c r="P24" s="15">
        <f t="shared" si="0"/>
        <v>1.1177347242921012</v>
      </c>
      <c r="Q24" s="15">
        <f t="shared" si="1"/>
        <v>0.6887052341597797</v>
      </c>
      <c r="R24" s="15">
        <f t="shared" si="2"/>
        <v>0.8650519031141868</v>
      </c>
      <c r="S24" s="15">
        <f t="shared" si="3"/>
        <v>0.8341695935775213</v>
      </c>
      <c r="T24" s="15">
        <f t="shared" si="4"/>
        <v>0.07272727272727274</v>
      </c>
      <c r="U24" s="15"/>
      <c r="V24" s="31">
        <f t="shared" si="5"/>
        <v>2.465</v>
      </c>
      <c r="W24" s="3"/>
      <c r="X24" s="3"/>
      <c r="Y24" s="3"/>
      <c r="Z24" s="3"/>
      <c r="AA24" s="16"/>
      <c r="AB24" s="16" t="s">
        <v>51</v>
      </c>
      <c r="AC24" s="16" t="s">
        <v>11</v>
      </c>
      <c r="AD24" s="32">
        <v>0.67</v>
      </c>
      <c r="AE24" s="16"/>
      <c r="AF24" s="32">
        <v>0.43</v>
      </c>
      <c r="AG24" s="16"/>
      <c r="AH24" s="16"/>
      <c r="AI24" s="16"/>
      <c r="AJ24" s="16"/>
      <c r="AK24" s="16"/>
      <c r="AL24" s="16"/>
      <c r="AM24" s="16"/>
      <c r="AN24" s="18"/>
      <c r="AO24" s="18"/>
    </row>
    <row r="25" spans="8:8" ht="69.45" hidden="1" customHeight="1">
      <c r="A25" s="4"/>
      <c r="B25" s="4"/>
      <c r="C25" s="47" t="s">
        <v>2676</v>
      </c>
      <c r="D25" s="42">
        <v>10.0</v>
      </c>
      <c r="E25" s="43">
        <v>1.4</v>
      </c>
      <c r="F25" s="43">
        <v>1.3</v>
      </c>
      <c r="G25" s="43">
        <v>2.7</v>
      </c>
      <c r="H25" s="44" t="s">
        <v>179</v>
      </c>
      <c r="I25" s="43">
        <v>1.75</v>
      </c>
      <c r="J25" s="43">
        <v>1.0</v>
      </c>
      <c r="K25" s="43">
        <v>2.75</v>
      </c>
      <c r="L25" s="44" t="s">
        <v>179</v>
      </c>
      <c r="M25" s="43">
        <v>1.17</v>
      </c>
      <c r="N25" s="43">
        <v>1.5</v>
      </c>
      <c r="O25" s="45">
        <v>2.67</v>
      </c>
      <c r="P25" s="23">
        <f t="shared" si="0"/>
        <v>1.0866865375062094</v>
      </c>
      <c r="Q25" s="23">
        <f t="shared" si="1"/>
        <v>0.8608815426997245</v>
      </c>
      <c r="R25" s="23">
        <f t="shared" si="2"/>
        <v>1.0121107266435985</v>
      </c>
      <c r="S25" s="23">
        <f t="shared" si="3"/>
        <v>0.9407927747114901</v>
      </c>
      <c r="T25" s="23">
        <f t="shared" si="4"/>
        <v>0.05800000000000001</v>
      </c>
      <c r="U25" s="23"/>
      <c r="V25" s="38">
        <f t="shared" si="5"/>
        <v>2.71</v>
      </c>
      <c r="W25" s="7"/>
      <c r="X25" s="7"/>
      <c r="Y25" s="7"/>
      <c r="Z25" s="7"/>
      <c r="AA25" s="4"/>
      <c r="AB25" s="4" t="s">
        <v>52</v>
      </c>
      <c r="AC25" s="4" t="s">
        <v>11</v>
      </c>
      <c r="AD25" s="24">
        <v>0.4</v>
      </c>
      <c r="AE25" s="4"/>
      <c r="AF25" s="24">
        <v>0.37</v>
      </c>
      <c r="AG25" s="4"/>
      <c r="AH25" s="4"/>
      <c r="AI25" s="4"/>
      <c r="AJ25" s="4"/>
      <c r="AK25" s="4"/>
      <c r="AL25" s="4"/>
      <c r="AM25" s="4"/>
      <c r="AN25" s="18"/>
      <c r="AO25" s="18"/>
    </row>
    <row r="26" spans="8:8" ht="38.2" hidden="1" customHeight="1">
      <c r="A26" s="16"/>
      <c r="B26" s="16"/>
      <c r="C26" s="47" t="s">
        <v>2677</v>
      </c>
      <c r="D26" s="42">
        <v>10.0</v>
      </c>
      <c r="E26" s="43">
        <v>1.7</v>
      </c>
      <c r="F26" s="43">
        <v>1.4</v>
      </c>
      <c r="G26" s="43">
        <v>3.1</v>
      </c>
      <c r="H26" s="44" t="s">
        <v>179</v>
      </c>
      <c r="I26" s="43">
        <v>1.83</v>
      </c>
      <c r="J26" s="43">
        <v>1.0</v>
      </c>
      <c r="K26" s="43">
        <v>2.83</v>
      </c>
      <c r="L26" s="44" t="s">
        <v>179</v>
      </c>
      <c r="M26" s="43">
        <v>1.5</v>
      </c>
      <c r="N26" s="43">
        <v>2.0</v>
      </c>
      <c r="O26" s="45">
        <v>3.5</v>
      </c>
      <c r="P26" s="15">
        <f t="shared" si="0"/>
        <v>1.1363636363636362</v>
      </c>
      <c r="Q26" s="15">
        <f t="shared" si="1"/>
        <v>0.8608815426997245</v>
      </c>
      <c r="R26" s="15">
        <f t="shared" si="2"/>
        <v>1.2975778546712802</v>
      </c>
      <c r="S26" s="15">
        <f t="shared" si="3"/>
        <v>1.2543903662819869</v>
      </c>
      <c r="T26" s="15">
        <f t="shared" si="4"/>
        <v>0.03300000000000001</v>
      </c>
      <c r="U26" s="15"/>
      <c r="V26" s="31">
        <f t="shared" si="5"/>
        <v>3.165</v>
      </c>
      <c r="W26" s="3"/>
      <c r="X26" s="3"/>
      <c r="Y26" s="3"/>
      <c r="Z26" s="3"/>
      <c r="AA26" s="16"/>
      <c r="AB26" s="16" t="s">
        <v>53</v>
      </c>
      <c r="AC26" s="16" t="s">
        <v>11</v>
      </c>
      <c r="AD26" s="32">
        <v>0.47</v>
      </c>
      <c r="AE26" s="16"/>
      <c r="AF26" s="32">
        <v>0.4</v>
      </c>
      <c r="AG26" s="16"/>
      <c r="AH26" s="16"/>
      <c r="AI26" s="16"/>
      <c r="AJ26" s="16"/>
      <c r="AK26" s="16"/>
      <c r="AL26" s="16"/>
      <c r="AM26" s="16"/>
      <c r="AN26" s="18"/>
      <c r="AO26" s="18"/>
    </row>
    <row r="27" spans="8:8" ht="61.9" hidden="1" customHeight="1">
      <c r="A27" s="4"/>
      <c r="B27" s="4"/>
      <c r="C27" s="47" t="s">
        <v>2678</v>
      </c>
      <c r="D27" s="42">
        <v>10.0</v>
      </c>
      <c r="E27" s="43">
        <v>1.2</v>
      </c>
      <c r="F27" s="43">
        <v>1.1</v>
      </c>
      <c r="G27" s="43">
        <v>2.3</v>
      </c>
      <c r="H27" s="44" t="s">
        <v>179</v>
      </c>
      <c r="I27" s="43">
        <v>1.8</v>
      </c>
      <c r="J27" s="43">
        <v>1.0</v>
      </c>
      <c r="K27" s="43">
        <v>2.8</v>
      </c>
      <c r="L27" s="44" t="s">
        <v>179</v>
      </c>
      <c r="M27" s="43">
        <v>0.6</v>
      </c>
      <c r="N27" s="43">
        <v>1.2</v>
      </c>
      <c r="O27" s="45">
        <v>1.8</v>
      </c>
      <c r="P27" s="23">
        <f t="shared" si="0"/>
        <v>1.1177347242921012</v>
      </c>
      <c r="Q27" s="23">
        <f t="shared" si="1"/>
        <v>0.8608815426997245</v>
      </c>
      <c r="R27" s="23">
        <f t="shared" si="2"/>
        <v>0.5190311418685121</v>
      </c>
      <c r="S27" s="23">
        <f t="shared" si="3"/>
        <v>0.7526342197691921</v>
      </c>
      <c r="T27" s="23">
        <f t="shared" si="4"/>
        <v>0.12000000000000002</v>
      </c>
      <c r="U27" s="23"/>
      <c r="V27" s="38">
        <f t="shared" si="5"/>
        <v>2.3</v>
      </c>
      <c r="W27" s="7"/>
      <c r="X27" s="7"/>
      <c r="Y27" s="7"/>
      <c r="Z27" s="7"/>
      <c r="AA27" s="4"/>
      <c r="AB27" s="4" t="s">
        <v>54</v>
      </c>
      <c r="AC27" s="4"/>
      <c r="AD27" s="24">
        <v>0.13</v>
      </c>
      <c r="AE27" s="4" t="s">
        <v>11</v>
      </c>
      <c r="AF27" s="24">
        <v>0.23</v>
      </c>
      <c r="AG27" s="4"/>
      <c r="AH27" s="4"/>
      <c r="AI27" s="4"/>
      <c r="AJ27" s="4"/>
      <c r="AK27" s="4"/>
      <c r="AL27" s="4"/>
      <c r="AM27" s="4"/>
      <c r="AN27" s="18"/>
      <c r="AO27" s="18"/>
    </row>
    <row r="28" spans="8:8" ht="53.8" hidden="1" customHeight="1">
      <c r="A28" s="16"/>
      <c r="B28" s="16"/>
      <c r="C28" s="47" t="s">
        <v>2679</v>
      </c>
      <c r="D28" s="42">
        <v>12.0</v>
      </c>
      <c r="E28" s="43">
        <v>1.5</v>
      </c>
      <c r="F28" s="43">
        <v>1.17</v>
      </c>
      <c r="G28" s="43">
        <v>2.67</v>
      </c>
      <c r="H28" s="44" t="s">
        <v>179</v>
      </c>
      <c r="I28" s="43">
        <v>1.67</v>
      </c>
      <c r="J28" s="43">
        <v>0.83</v>
      </c>
      <c r="K28" s="43">
        <v>2.5</v>
      </c>
      <c r="L28" s="44" t="s">
        <v>179</v>
      </c>
      <c r="M28" s="43">
        <v>1.33</v>
      </c>
      <c r="N28" s="43">
        <v>1.5</v>
      </c>
      <c r="O28" s="45">
        <v>2.83</v>
      </c>
      <c r="P28" s="15">
        <f t="shared" si="0"/>
        <v>1.0370094386487827</v>
      </c>
      <c r="Q28" s="15">
        <f t="shared" si="1"/>
        <v>0.7145316804407713</v>
      </c>
      <c r="R28" s="15">
        <f t="shared" si="2"/>
        <v>1.1505190311418685</v>
      </c>
      <c r="S28" s="15">
        <f t="shared" si="3"/>
        <v>0.9407927747114901</v>
      </c>
      <c r="T28" s="15">
        <f t="shared" si="4"/>
        <v>0.02833333333333332</v>
      </c>
      <c r="U28" s="15"/>
      <c r="V28" s="31">
        <f t="shared" si="5"/>
        <v>2.665</v>
      </c>
      <c r="W28" s="3"/>
      <c r="X28" s="3"/>
      <c r="Y28" s="3"/>
      <c r="Z28" s="3"/>
      <c r="AA28" s="16"/>
      <c r="AB28" s="16" t="s">
        <v>55</v>
      </c>
      <c r="AC28" s="16" t="s">
        <v>11</v>
      </c>
      <c r="AD28" s="17">
        <v>3.0</v>
      </c>
      <c r="AE28" s="16"/>
      <c r="AF28" s="16">
        <v>2.23</v>
      </c>
      <c r="AG28" s="16"/>
      <c r="AH28" s="16"/>
      <c r="AI28" s="16"/>
      <c r="AJ28" s="16"/>
      <c r="AK28" s="16"/>
      <c r="AL28" s="16"/>
      <c r="AM28" s="16"/>
      <c r="AN28" s="18"/>
      <c r="AO28" s="18"/>
    </row>
    <row r="29" spans="8:8" ht="30.65" hidden="1" customHeight="1">
      <c r="A29" s="4"/>
      <c r="B29" s="4"/>
      <c r="C29" s="47" t="s">
        <v>2680</v>
      </c>
      <c r="D29" s="42">
        <v>11.0</v>
      </c>
      <c r="E29" s="43">
        <v>1.09</v>
      </c>
      <c r="F29" s="43">
        <v>2.36</v>
      </c>
      <c r="G29" s="43">
        <v>3.45</v>
      </c>
      <c r="H29" s="44" t="s">
        <v>179</v>
      </c>
      <c r="I29" s="43">
        <v>1.6</v>
      </c>
      <c r="J29" s="43">
        <v>2.8</v>
      </c>
      <c r="K29" s="43">
        <v>4.4</v>
      </c>
      <c r="L29" s="44" t="s">
        <v>179</v>
      </c>
      <c r="M29" s="43">
        <v>0.67</v>
      </c>
      <c r="N29" s="43">
        <v>2.0</v>
      </c>
      <c r="O29" s="45">
        <v>2.67</v>
      </c>
      <c r="P29" s="23">
        <f t="shared" si="0"/>
        <v>0.9935419771485344</v>
      </c>
      <c r="Q29" s="23">
        <f t="shared" si="1"/>
        <v>2.4104683195592287</v>
      </c>
      <c r="R29" s="23">
        <f t="shared" si="2"/>
        <v>0.5795847750865052</v>
      </c>
      <c r="S29" s="23">
        <f t="shared" si="3"/>
        <v>1.2543903662819869</v>
      </c>
      <c r="T29" s="23">
        <f t="shared" si="4"/>
        <v>0.08454545454545455</v>
      </c>
      <c r="U29" s="23"/>
      <c r="V29" s="38">
        <f t="shared" si="5"/>
        <v>3.535</v>
      </c>
      <c r="W29" s="7"/>
      <c r="X29" s="7"/>
      <c r="Y29" s="7"/>
      <c r="Z29" s="7"/>
      <c r="AA29" s="4"/>
      <c r="AB29" s="4" t="s">
        <v>56</v>
      </c>
      <c r="AC29" s="4" t="s">
        <v>11</v>
      </c>
      <c r="AD29" s="39">
        <v>1.5</v>
      </c>
      <c r="AE29" s="4"/>
      <c r="AF29" s="39">
        <v>0.8</v>
      </c>
      <c r="AG29" s="4"/>
      <c r="AH29" s="4"/>
      <c r="AI29" s="4"/>
      <c r="AJ29" s="4"/>
      <c r="AK29" s="4"/>
      <c r="AL29" s="4"/>
      <c r="AM29" s="4"/>
      <c r="AN29" s="18"/>
      <c r="AO29" s="18"/>
    </row>
    <row r="30" spans="8:8" ht="77.5" hidden="1" customHeight="1">
      <c r="A30" s="16"/>
      <c r="B30" s="16"/>
      <c r="C30" s="47" t="s">
        <v>2681</v>
      </c>
      <c r="D30" s="42">
        <v>11.0</v>
      </c>
      <c r="E30" s="43">
        <v>1.73</v>
      </c>
      <c r="F30" s="43">
        <v>0.45</v>
      </c>
      <c r="G30" s="43">
        <v>2.18</v>
      </c>
      <c r="H30" s="44" t="s">
        <v>179</v>
      </c>
      <c r="I30" s="43">
        <v>2.4</v>
      </c>
      <c r="J30" s="43">
        <v>0.6</v>
      </c>
      <c r="K30" s="43">
        <v>3.0</v>
      </c>
      <c r="L30" s="44" t="s">
        <v>179</v>
      </c>
      <c r="M30" s="43">
        <v>1.17</v>
      </c>
      <c r="N30" s="43">
        <v>0.33</v>
      </c>
      <c r="O30" s="45">
        <v>1.5</v>
      </c>
      <c r="P30" s="15">
        <f t="shared" si="0"/>
        <v>1.4903129657228016</v>
      </c>
      <c r="Q30" s="15">
        <f t="shared" si="1"/>
        <v>0.5165289256198347</v>
      </c>
      <c r="R30" s="15">
        <f t="shared" si="2"/>
        <v>1.0121107266435985</v>
      </c>
      <c r="S30" s="15">
        <f t="shared" si="3"/>
        <v>0.20697441043652784</v>
      </c>
      <c r="T30" s="15">
        <f t="shared" si="4"/>
        <v>0.11181818181818182</v>
      </c>
      <c r="U30" s="15"/>
      <c r="V30" s="31">
        <f t="shared" si="5"/>
        <v>2.25</v>
      </c>
      <c r="W30" s="3"/>
      <c r="X30" s="3"/>
      <c r="Y30" s="3"/>
      <c r="Z30" s="3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8"/>
      <c r="AO30" s="18"/>
    </row>
    <row r="31" spans="8:8" ht="67.3" hidden="1" customHeight="1">
      <c r="A31" s="4"/>
      <c r="B31" s="4"/>
      <c r="C31" s="47"/>
      <c r="D31" s="42"/>
      <c r="E31" s="43"/>
      <c r="F31" s="43"/>
      <c r="G31" s="43"/>
      <c r="H31" s="44"/>
      <c r="I31" s="43"/>
      <c r="J31" s="43"/>
      <c r="K31" s="43"/>
      <c r="L31" s="44"/>
      <c r="M31" s="43"/>
      <c r="N31" s="43"/>
      <c r="O31" s="45"/>
      <c r="P31" s="23">
        <f t="shared" si="0"/>
        <v>0.0</v>
      </c>
      <c r="Q31" s="23">
        <f t="shared" si="1"/>
        <v>0.0</v>
      </c>
      <c r="R31" s="23">
        <f t="shared" si="2"/>
        <v>0.0</v>
      </c>
      <c r="S31" s="23">
        <f t="shared" si="3"/>
        <v>0.0</v>
      </c>
      <c r="T31" s="23" t="e">
        <f t="shared" si="4"/>
        <v>#DIV/0!</v>
      </c>
      <c r="U31" s="23"/>
      <c r="V31" s="38" t="str">
        <f t="shared" si="5"/>
        <v> </v>
      </c>
      <c r="W31" s="7"/>
      <c r="X31" s="7"/>
      <c r="Y31" s="7"/>
      <c r="Z31" s="7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18"/>
      <c r="AO31" s="18"/>
    </row>
    <row r="32" spans="8:8" ht="51.65" hidden="1" customHeight="1">
      <c r="A32" s="16"/>
      <c r="B32" s="16"/>
      <c r="C32" s="47"/>
      <c r="D32" s="42"/>
      <c r="E32" s="43"/>
      <c r="F32" s="43"/>
      <c r="G32" s="43"/>
      <c r="H32" s="44"/>
      <c r="I32" s="43"/>
      <c r="J32" s="43"/>
      <c r="K32" s="43"/>
      <c r="L32" s="44"/>
      <c r="M32" s="43"/>
      <c r="N32" s="43"/>
      <c r="O32" s="45"/>
      <c r="P32" s="15">
        <f t="shared" si="0"/>
        <v>0.0</v>
      </c>
      <c r="Q32" s="15">
        <f t="shared" si="1"/>
        <v>0.0</v>
      </c>
      <c r="R32" s="15">
        <f t="shared" si="2"/>
        <v>0.0</v>
      </c>
      <c r="S32" s="15">
        <f t="shared" si="3"/>
        <v>0.0</v>
      </c>
      <c r="T32" s="15" t="e">
        <f t="shared" si="4"/>
        <v>#DIV/0!</v>
      </c>
      <c r="U32" s="15"/>
      <c r="V32" s="31" t="str">
        <f t="shared" si="5"/>
        <v> </v>
      </c>
      <c r="W32" s="3"/>
      <c r="X32" s="3"/>
      <c r="Y32" s="3"/>
      <c r="Z32" s="3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8"/>
      <c r="AO32" s="18"/>
    </row>
    <row r="33" spans="8:8" ht="34.45" hidden="1" customHeight="1">
      <c r="A33" s="4"/>
      <c r="B33" s="4"/>
      <c r="C33" s="47"/>
      <c r="D33" s="42"/>
      <c r="E33" s="43"/>
      <c r="F33" s="43"/>
      <c r="G33" s="43"/>
      <c r="H33" s="44"/>
      <c r="I33" s="43"/>
      <c r="J33" s="43"/>
      <c r="K33" s="43"/>
      <c r="L33" s="44"/>
      <c r="M33" s="43"/>
      <c r="N33" s="43"/>
      <c r="O33" s="45"/>
      <c r="P33" s="23">
        <f t="shared" si="0"/>
        <v>0.0</v>
      </c>
      <c r="Q33" s="23">
        <f t="shared" si="1"/>
        <v>0.0</v>
      </c>
      <c r="R33" s="23">
        <f t="shared" si="2"/>
        <v>0.0</v>
      </c>
      <c r="S33" s="23">
        <f t="shared" si="3"/>
        <v>0.0</v>
      </c>
      <c r="T33" s="23" t="e">
        <f t="shared" si="4"/>
        <v>#DIV/0!</v>
      </c>
      <c r="U33" s="23"/>
      <c r="V33" s="38" t="str">
        <f t="shared" si="5"/>
        <v> </v>
      </c>
      <c r="W33" s="7"/>
      <c r="X33" s="7"/>
      <c r="Y33" s="7"/>
      <c r="Z33" s="7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18"/>
      <c r="AO33" s="18"/>
    </row>
    <row r="34" spans="8:8" ht="51.1" hidden="1" customHeight="1">
      <c r="A34" s="16"/>
      <c r="B34" s="16"/>
      <c r="C34" s="47"/>
      <c r="D34" s="42"/>
      <c r="E34" s="43"/>
      <c r="F34" s="43"/>
      <c r="G34" s="43"/>
      <c r="H34" s="44"/>
      <c r="I34" s="43"/>
      <c r="J34" s="43"/>
      <c r="K34" s="43"/>
      <c r="L34" s="44"/>
      <c r="M34" s="43"/>
      <c r="N34" s="43"/>
      <c r="O34" s="45"/>
      <c r="P34" s="15">
        <f t="shared" si="0"/>
        <v>0.0</v>
      </c>
      <c r="Q34" s="15">
        <f t="shared" si="1"/>
        <v>0.0</v>
      </c>
      <c r="R34" s="15">
        <f t="shared" si="2"/>
        <v>0.0</v>
      </c>
      <c r="S34" s="15">
        <f t="shared" si="3"/>
        <v>0.0</v>
      </c>
      <c r="T34" s="15" t="e">
        <f t="shared" si="4"/>
        <v>#DIV/0!</v>
      </c>
      <c r="U34" s="15"/>
      <c r="V34" s="31" t="str">
        <f t="shared" si="5"/>
        <v> </v>
      </c>
      <c r="W34" s="3"/>
      <c r="X34" s="3"/>
      <c r="Y34" s="3"/>
      <c r="Z34" s="3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8"/>
      <c r="AO34" s="18"/>
    </row>
    <row r="35" spans="8:8" ht="51.65" hidden="1" customHeight="1">
      <c r="A35" s="4"/>
      <c r="B35" s="4"/>
      <c r="C35" s="47"/>
      <c r="D35" s="42"/>
      <c r="E35" s="43"/>
      <c r="F35" s="43"/>
      <c r="G35" s="43"/>
      <c r="H35" s="44"/>
      <c r="I35" s="43"/>
      <c r="J35" s="43"/>
      <c r="K35" s="43"/>
      <c r="L35" s="44"/>
      <c r="M35" s="43"/>
      <c r="N35" s="43"/>
      <c r="O35" s="45"/>
      <c r="P35" s="23">
        <f t="shared" si="0"/>
        <v>0.0</v>
      </c>
      <c r="Q35" s="23">
        <f t="shared" si="1"/>
        <v>0.0</v>
      </c>
      <c r="R35" s="23">
        <f t="shared" si="2"/>
        <v>0.0</v>
      </c>
      <c r="S35" s="23">
        <f t="shared" si="3"/>
        <v>0.0</v>
      </c>
      <c r="T35" s="23" t="e">
        <f t="shared" si="4"/>
        <v>#DIV/0!</v>
      </c>
      <c r="U35" s="23"/>
      <c r="V35" s="38" t="str">
        <f t="shared" si="5"/>
        <v> </v>
      </c>
      <c r="W35" s="7"/>
      <c r="X35" s="7"/>
      <c r="Y35" s="7"/>
      <c r="Z35" s="7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18"/>
      <c r="AO35" s="18"/>
    </row>
    <row r="36" spans="8:8" ht="73.2" hidden="1" customHeight="1">
      <c r="A36" s="16"/>
      <c r="B36" s="16"/>
      <c r="C36" s="48"/>
      <c r="D36" s="49"/>
      <c r="E36" s="50"/>
      <c r="F36" s="50"/>
      <c r="G36" s="50"/>
      <c r="H36" s="51"/>
      <c r="I36" s="50"/>
      <c r="J36" s="50"/>
      <c r="K36" s="50"/>
      <c r="L36" s="51"/>
      <c r="M36" s="50"/>
      <c r="N36" s="50"/>
      <c r="O36" s="52"/>
      <c r="P36" s="15">
        <f t="shared" si="0"/>
        <v>0.0</v>
      </c>
      <c r="Q36" s="15">
        <f t="shared" si="1"/>
        <v>0.0</v>
      </c>
      <c r="R36" s="15">
        <f t="shared" si="2"/>
        <v>0.0</v>
      </c>
      <c r="S36" s="15">
        <f t="shared" si="3"/>
        <v>0.0</v>
      </c>
      <c r="T36" s="15" t="e">
        <f t="shared" si="4"/>
        <v>#DIV/0!</v>
      </c>
      <c r="U36" s="15"/>
      <c r="V36" s="3" t="str">
        <f t="shared" si="5"/>
        <v> </v>
      </c>
      <c r="W36" s="3"/>
      <c r="X36" s="3"/>
      <c r="Y36" s="3"/>
      <c r="Z36" s="3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8"/>
      <c r="AO36" s="18"/>
    </row>
    <row r="37" spans="8:8" ht="55.95" hidden="1" customHeight="1">
      <c r="A37" s="4"/>
      <c r="B37" s="4"/>
      <c r="C37" s="48"/>
      <c r="D37" s="49"/>
      <c r="E37" s="50"/>
      <c r="F37" s="50"/>
      <c r="G37" s="50"/>
      <c r="H37" s="51"/>
      <c r="I37" s="50"/>
      <c r="J37" s="50"/>
      <c r="K37" s="50"/>
      <c r="L37" s="51"/>
      <c r="M37" s="50"/>
      <c r="N37" s="50"/>
      <c r="O37" s="52"/>
      <c r="P37" s="23">
        <f t="shared" si="0"/>
        <v>0.0</v>
      </c>
      <c r="Q37" s="23">
        <f t="shared" si="1"/>
        <v>0.0</v>
      </c>
      <c r="R37" s="23">
        <f t="shared" si="2"/>
        <v>0.0</v>
      </c>
      <c r="S37" s="23">
        <f t="shared" si="3"/>
        <v>0.0</v>
      </c>
      <c r="T37" s="23" t="e">
        <f t="shared" si="4"/>
        <v>#DIV/0!</v>
      </c>
      <c r="U37" s="23"/>
      <c r="V37" s="7" t="str">
        <f t="shared" si="5"/>
        <v> </v>
      </c>
      <c r="W37" s="7"/>
      <c r="X37" s="7"/>
      <c r="Y37" s="7"/>
      <c r="Z37" s="7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18"/>
      <c r="AO37" s="18"/>
    </row>
    <row r="38" spans="8:8" ht="78.05" hidden="1" customHeight="1">
      <c r="A38" s="16"/>
      <c r="B38" s="16"/>
      <c r="C38" s="48"/>
      <c r="D38" s="49"/>
      <c r="E38" s="50"/>
      <c r="F38" s="50"/>
      <c r="G38" s="50"/>
      <c r="H38" s="51"/>
      <c r="I38" s="50"/>
      <c r="J38" s="50"/>
      <c r="K38" s="50"/>
      <c r="L38" s="51"/>
      <c r="M38" s="50"/>
      <c r="N38" s="50"/>
      <c r="O38" s="52"/>
      <c r="P38" s="15">
        <f t="shared" si="0"/>
        <v>0.0</v>
      </c>
      <c r="Q38" s="15">
        <f t="shared" si="1"/>
        <v>0.0</v>
      </c>
      <c r="R38" s="15">
        <f t="shared" si="2"/>
        <v>0.0</v>
      </c>
      <c r="S38" s="15">
        <f t="shared" si="3"/>
        <v>0.0</v>
      </c>
      <c r="T38" s="15" t="e">
        <f t="shared" si="4"/>
        <v>#DIV/0!</v>
      </c>
      <c r="U38" s="15"/>
      <c r="V38" s="3" t="str">
        <f t="shared" si="5"/>
        <v> </v>
      </c>
      <c r="W38" s="3"/>
      <c r="X38" s="3"/>
      <c r="Y38" s="3"/>
      <c r="Z38" s="3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8"/>
      <c r="AO38" s="18"/>
    </row>
    <row r="39" spans="8:8" ht="69.95" hidden="1" customHeight="1">
      <c r="A39" s="4"/>
      <c r="B39" s="4"/>
      <c r="C39" s="48"/>
      <c r="D39" s="49"/>
      <c r="E39" s="50"/>
      <c r="F39" s="50"/>
      <c r="G39" s="50"/>
      <c r="H39" s="51"/>
      <c r="I39" s="50"/>
      <c r="J39" s="50"/>
      <c r="K39" s="50"/>
      <c r="L39" s="51"/>
      <c r="M39" s="50"/>
      <c r="N39" s="50"/>
      <c r="O39" s="52"/>
      <c r="P39" s="23">
        <f t="shared" si="0"/>
        <v>0.0</v>
      </c>
      <c r="Q39" s="23">
        <f t="shared" si="1"/>
        <v>0.0</v>
      </c>
      <c r="R39" s="23">
        <f t="shared" si="2"/>
        <v>0.0</v>
      </c>
      <c r="S39" s="23">
        <f t="shared" si="3"/>
        <v>0.0</v>
      </c>
      <c r="T39" s="23" t="e">
        <f t="shared" si="4"/>
        <v>#DIV/0!</v>
      </c>
      <c r="U39" s="23"/>
      <c r="V39" s="7" t="str">
        <f t="shared" si="5"/>
        <v> </v>
      </c>
      <c r="W39" s="7"/>
      <c r="X39" s="7"/>
      <c r="Y39" s="7"/>
      <c r="Z39" s="7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18"/>
      <c r="AO39" s="18"/>
    </row>
    <row r="40" spans="8:8" ht="61.35" hidden="1" customHeight="1">
      <c r="A40" s="16"/>
      <c r="B40" s="16"/>
      <c r="C40" s="48"/>
      <c r="D40" s="49"/>
      <c r="E40" s="50"/>
      <c r="F40" s="50"/>
      <c r="G40" s="50"/>
      <c r="H40" s="51"/>
      <c r="I40" s="50"/>
      <c r="J40" s="50"/>
      <c r="K40" s="50"/>
      <c r="L40" s="51"/>
      <c r="M40" s="50"/>
      <c r="N40" s="50"/>
      <c r="O40" s="52"/>
      <c r="P40" s="15">
        <f t="shared" si="0"/>
        <v>0.0</v>
      </c>
      <c r="Q40" s="15">
        <f t="shared" si="1"/>
        <v>0.0</v>
      </c>
      <c r="R40" s="15">
        <f t="shared" si="2"/>
        <v>0.0</v>
      </c>
      <c r="S40" s="15">
        <f t="shared" si="3"/>
        <v>0.0</v>
      </c>
      <c r="T40" s="15" t="e">
        <f t="shared" si="4"/>
        <v>#DIV/0!</v>
      </c>
      <c r="U40" s="15"/>
      <c r="V40" s="3" t="str">
        <f t="shared" si="5"/>
        <v> </v>
      </c>
      <c r="W40" s="3"/>
      <c r="X40" s="3"/>
      <c r="Y40" s="3"/>
      <c r="Z40" s="3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8"/>
      <c r="AO40" s="18"/>
    </row>
    <row r="41" spans="8:8" ht="62.95" hidden="1" customHeight="1">
      <c r="A41" s="4"/>
      <c r="B41" s="4"/>
      <c r="C41" s="48"/>
      <c r="D41" s="49"/>
      <c r="E41" s="50"/>
      <c r="F41" s="50"/>
      <c r="G41" s="50"/>
      <c r="H41" s="51"/>
      <c r="I41" s="50"/>
      <c r="J41" s="50"/>
      <c r="K41" s="50"/>
      <c r="L41" s="51"/>
      <c r="M41" s="50"/>
      <c r="N41" s="50"/>
      <c r="O41" s="52"/>
      <c r="P41" s="23">
        <f t="shared" si="0"/>
        <v>0.0</v>
      </c>
      <c r="Q41" s="23">
        <f t="shared" si="1"/>
        <v>0.0</v>
      </c>
      <c r="R41" s="23">
        <f t="shared" si="2"/>
        <v>0.0</v>
      </c>
      <c r="S41" s="23">
        <f t="shared" si="3"/>
        <v>0.0</v>
      </c>
      <c r="T41" s="23" t="e">
        <f t="shared" si="4"/>
        <v>#DIV/0!</v>
      </c>
      <c r="U41" s="23"/>
      <c r="V41" s="7" t="str">
        <f t="shared" si="5"/>
        <v> </v>
      </c>
      <c r="W41" s="7"/>
      <c r="X41" s="7"/>
      <c r="Y41" s="7"/>
      <c r="Z41" s="7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18"/>
      <c r="AO41" s="18"/>
    </row>
    <row r="42" spans="8:8" ht="46.3" hidden="1" customHeight="1">
      <c r="A42" s="16"/>
      <c r="B42" s="16"/>
      <c r="C42" s="48"/>
      <c r="D42" s="49"/>
      <c r="E42" s="50"/>
      <c r="F42" s="50"/>
      <c r="G42" s="50"/>
      <c r="H42" s="51"/>
      <c r="I42" s="50"/>
      <c r="J42" s="50"/>
      <c r="K42" s="50"/>
      <c r="L42" s="51"/>
      <c r="M42" s="50"/>
      <c r="N42" s="50"/>
      <c r="O42" s="52"/>
      <c r="P42" s="15">
        <f t="shared" si="0"/>
        <v>0.0</v>
      </c>
      <c r="Q42" s="15">
        <f t="shared" si="1"/>
        <v>0.0</v>
      </c>
      <c r="R42" s="15">
        <f t="shared" si="2"/>
        <v>0.0</v>
      </c>
      <c r="S42" s="15">
        <f t="shared" si="3"/>
        <v>0.0</v>
      </c>
      <c r="T42" s="15" t="e">
        <f t="shared" si="4"/>
        <v>#DIV/0!</v>
      </c>
      <c r="U42" s="15"/>
      <c r="V42" s="3" t="str">
        <f t="shared" si="5"/>
        <v> </v>
      </c>
      <c r="W42" s="3"/>
      <c r="X42" s="3"/>
      <c r="Y42" s="3"/>
      <c r="Z42" s="3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8"/>
      <c r="AO42" s="18"/>
    </row>
    <row r="43" spans="8:8" ht="31.5" customHeight="1">
      <c r="A43" s="53" t="str">
        <f>_xlfn.TEXTJOIN("/ ", ,R88,Q88,Q86,P88,R93,T88,Sheet2!F40)</f>
        <v>4goals/ coup</v>
      </c>
      <c r="B43" s="4" t="str">
        <f>_xlfn.TEXTJOIN("/ ", ,_xlfn.IFERROR(O89,""),_xlfn.IFERROR(O90,""))</f>
        <v>move1/ move2</v>
      </c>
      <c r="C43" s="54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6"/>
      <c r="P43" s="57"/>
      <c r="Q43" s="7"/>
      <c r="R43" s="7"/>
      <c r="S43" s="7"/>
      <c r="T43" s="7"/>
      <c r="U43" s="7"/>
      <c r="V43" s="7"/>
      <c r="W43" s="7"/>
      <c r="X43" s="7"/>
      <c r="Y43" s="7"/>
      <c r="Z43" s="7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18"/>
      <c r="AO43" s="18"/>
    </row>
    <row r="44" spans="8:8" ht="1.5" customHeight="1">
      <c r="A44" s="58"/>
      <c r="B44" s="16"/>
      <c r="C44" s="15">
        <f>COUNT(E6:E42)</f>
        <v>25.0</v>
      </c>
      <c r="D44" s="59"/>
      <c r="E44" s="60">
        <f t="shared" si="6" ref="E44:F44">AVERAGE(E6:E42)</f>
        <v>1.3683999999999998</v>
      </c>
      <c r="F44" s="60">
        <f t="shared" si="6"/>
        <v>1.3652000000000002</v>
      </c>
      <c r="G44" s="59"/>
      <c r="H44" s="61" t="s">
        <v>57</v>
      </c>
      <c r="I44" s="60">
        <f t="shared" si="7" ref="I44:J44">AVERAGE(I6:I42)</f>
        <v>1.6104000000000003</v>
      </c>
      <c r="J44" s="60">
        <f t="shared" si="7"/>
        <v>1.1616</v>
      </c>
      <c r="K44" s="59"/>
      <c r="L44" s="59"/>
      <c r="M44" s="60">
        <f t="shared" si="8" ref="M44:N44">AVERAGE(M6:M42)</f>
        <v>1.1560000000000001</v>
      </c>
      <c r="N44" s="60">
        <f t="shared" si="8"/>
        <v>1.5944</v>
      </c>
      <c r="O44" s="59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8"/>
      <c r="AO44" s="18"/>
    </row>
    <row r="45" spans="8:8" ht="2.25" hidden="1" customHeight="1">
      <c r="A45" s="53"/>
      <c r="B45" s="4"/>
      <c r="C45" s="7"/>
      <c r="D45" s="7"/>
      <c r="E45" s="38">
        <f>AVERAGE(E44,F44)</f>
        <v>1.3668</v>
      </c>
      <c r="F45" s="7"/>
      <c r="G45" s="7"/>
      <c r="H45" s="7"/>
      <c r="I45" s="38">
        <f>AVERAGE(I44,J44)</f>
        <v>1.3860000000000001</v>
      </c>
      <c r="J45" s="7"/>
      <c r="K45" s="7"/>
      <c r="L45" s="7"/>
      <c r="M45" s="38">
        <f>AVERAGE(M44,N44)</f>
        <v>1.3752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18"/>
      <c r="AO45" s="18"/>
    </row>
    <row r="46" spans="8:8" ht="18.75" customHeight="1">
      <c r="A46" s="58" t="str">
        <f>_xlfn.TEXTJOIN("/ ", ,R90,Q90,Q87,P90,R94,U88,Sheet2!BE39)</f>
        <v>4goals/ coup</v>
      </c>
      <c r="B46" s="62" t="str">
        <f>_xlfn.TEXTJOIN(", ", ,C114,_xlfn.IFERROR(O84,""),_xlfn.IFERROR(O85,""))</f>
        <v>4goals, Go1, Go2</v>
      </c>
      <c r="C46" s="63" t="str">
        <f>_xlfn.TEXTJOIN("=", ,E62,IF(P6="","Att is empty",""))</f>
        <v>not</v>
      </c>
      <c r="D46" s="16">
        <f>(E46/2)*E46</f>
        <v>3.8115605</v>
      </c>
      <c r="E46" s="31">
        <f>AVERAGE(V6:V42)</f>
        <v>2.761</v>
      </c>
      <c r="F46" s="3">
        <v>1.0</v>
      </c>
      <c r="G46" s="3" t="str">
        <f>IF(OR(E61="u2.5",E61="u2.5+",E61="u3.5"),E61,"check")</f>
        <v>check</v>
      </c>
      <c r="H46" s="3">
        <f>IF(AND(F62="over",J62="over"),1,IF(OR(F62="over",J62="over"),2,""))</f>
        <v>2.0</v>
      </c>
      <c r="I46" s="64" t="str">
        <f>_xlfn.TEXTJOIN("/ ", ,M84,S99,IF(AND($C$46="settled",$C$47="high"),"D+",""))</f>
        <v>yes/ 25</v>
      </c>
      <c r="J46" s="3" t="str">
        <f>_xlfn.TEXTJOIN(" ,", ,Sheet2!E40,2)</f>
        <v>never ,2</v>
      </c>
      <c r="K46" s="3" t="str">
        <f>IF(OR(I61="u2.5",I61="u2.5+",I61="u3.5"),I61,"check")</f>
        <v>check</v>
      </c>
      <c r="L46" s="3"/>
      <c r="M46" s="65"/>
      <c r="N46" s="3">
        <v>3.0</v>
      </c>
      <c r="O46" s="3" t="str">
        <f>IF(OR(M61="u2.5",M61="u2.5+",M61="u3.5"),M61,"check")</f>
        <v>check</v>
      </c>
      <c r="P46" s="3">
        <f>IF(AND(N62="over",R62="over"),1,IF(OR(N62="over",R62="over"),2,""))</f>
        <v>2.0</v>
      </c>
      <c r="Q46" s="66" t="str">
        <f>_xlfn.TEXTJOIN("/ ", ,M85,S100,IF(AND($C$46="settled",$C$47="high"),"D+",""))</f>
        <v>yes/ 25</v>
      </c>
      <c r="R46" s="3" t="str">
        <f>_xlfn.TEXTJOIN(" ,", ,Sheet2!BD39,4)</f>
        <v>never ,4</v>
      </c>
      <c r="S46" s="3" t="str">
        <f>IF(OR(Q61="u2.5",Q61="u2.5+",Q61="u3.5"),Q61,"check")</f>
        <v>check</v>
      </c>
      <c r="T46" s="3"/>
      <c r="U46" s="3"/>
      <c r="V46" s="3">
        <v>5.0</v>
      </c>
      <c r="W46" s="3" t="str">
        <f>IF(OR(U61="u2.5",U61="u2.5+",U61="u3.5"),U61,"check")</f>
        <v>u2.5+</v>
      </c>
      <c r="X46" s="3"/>
      <c r="Y46" s="3"/>
      <c r="Z46" s="3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8"/>
      <c r="AO46" s="18"/>
    </row>
    <row r="47" spans="8:8" ht="24.0" customHeight="1">
      <c r="A47" s="67" t="str">
        <f>IF(Sheet2!BE39="coup","just Add 1 goal","clean")</f>
        <v>just Add 1 goal</v>
      </c>
      <c r="B47" s="68" t="str">
        <f>_xlfn.TEXTJOIN("/ ", ,_xlfn.IFERROR(N84,""),_xlfn.IFERROR(N85,""))</f>
        <v>under1/ under2</v>
      </c>
      <c r="C47" s="69" t="str">
        <f>H64</f>
        <v>less</v>
      </c>
      <c r="D47" s="4" t="str">
        <f>IF($E$46-(AVERAGE(VLOOKUP(F48,$C$6:$V$42,20),VLOOKUP(G48,$C$6:$V$42,20)))&gt;-0.21,"well","not")</f>
        <v>not</v>
      </c>
      <c r="E47" s="7" t="str">
        <f>IF(C1&gt;0,"align",IF(C1&gt;-0.16,"full",IF(C1&gt;-0.3,"partially","the goal")))</f>
        <v>align</v>
      </c>
      <c r="F47" s="70" t="s">
        <v>6</v>
      </c>
      <c r="G47" s="70" t="s">
        <v>7</v>
      </c>
      <c r="H47" s="71" t="str">
        <f>$A$100</f>
        <v>50 and 50</v>
      </c>
      <c r="I47" s="7" t="str">
        <f>IF(E1&gt;0,"align",IF(E1&gt;-0.16,"full",IF(E1&gt;-0.3,"partially","the goal")))</f>
        <v>align</v>
      </c>
      <c r="J47" s="70" t="s">
        <v>6</v>
      </c>
      <c r="K47" s="70" t="s">
        <v>7</v>
      </c>
      <c r="L47" s="71" t="str">
        <f>$A$100</f>
        <v>50 and 50</v>
      </c>
      <c r="M47" s="7" t="str">
        <f>IF(G1&gt;0,"align",IF(G1&gt;-0.16,"full",IF(G1&gt;-0.3,"partially","the goal")))</f>
        <v>align</v>
      </c>
      <c r="N47" s="70" t="s">
        <v>6</v>
      </c>
      <c r="O47" s="70" t="s">
        <v>7</v>
      </c>
      <c r="P47" s="71" t="str">
        <f>$A$100</f>
        <v>50 and 50</v>
      </c>
      <c r="Q47" s="7" t="str">
        <f>IF(I1&gt;0,"align",IF(I1&gt;-0.16,"full",IF(I1&gt;-0.3,"partially","the goal")))</f>
        <v>align</v>
      </c>
      <c r="R47" s="70" t="s">
        <v>6</v>
      </c>
      <c r="S47" s="70" t="s">
        <v>7</v>
      </c>
      <c r="T47" s="71" t="str">
        <f>$A$100</f>
        <v>50 and 50</v>
      </c>
      <c r="U47" s="7" t="str">
        <f>IF(K1&gt;0,"align",IF(K1&gt;-0.16,"full",IF(K1&gt;-0.3,"partially","the goal")))</f>
        <v>partially</v>
      </c>
      <c r="V47" s="70" t="s">
        <v>6</v>
      </c>
      <c r="W47" s="70" t="s">
        <v>7</v>
      </c>
      <c r="X47" s="7"/>
      <c r="Y47" s="7"/>
      <c r="Z47" s="7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18"/>
      <c r="AO47" s="18"/>
    </row>
    <row r="48" spans="8:8" ht="19.5" customHeight="1">
      <c r="A48" s="72" t="str">
        <f>IF(OR(Sheet2!W26&gt;1,T88="not",U88="not",P88="both",P89="both",Sheet2!Y25="D'over",Sheet2!AX25="D'over",Sheet2!BW25="D'over",Sheet2!CV25="D'over",O89="hold1",O90="hold2"),"",_xlfn.TEXTJOIN(" + ", ,S81,U81,W83))</f>
        <v>0.75 + 3.5 + 2</v>
      </c>
      <c r="B48" s="73" t="str">
        <f>_xlfn.TEXTJOIN("/ ", ,_xlfn.IFERROR(V95,""),_xlfn.IFERROR(V96,""))</f>
        <v>check1/ check2</v>
      </c>
      <c r="C48" s="74">
        <f>H102</f>
        <v>-0.3177877423773493</v>
      </c>
      <c r="D48" s="16" t="str">
        <f>IF($E$46-(AVERAGE(VLOOKUP(J48,$C$6:$V$42,20),VLOOKUP(K48,$C$6:$V$42,20)))&gt;-0.21,"well","not")</f>
        <v>not</v>
      </c>
      <c r="E48" s="3" t="str">
        <f>IF($D46&gt;4.9,"5 goals",IF($D46&gt;4.45,"5goals",IF($D46&gt;3.45,"4goals",IF($D46&gt;2.45,"3goals","2goals or less"))))</f>
        <v>4goals</v>
      </c>
      <c r="F48" s="75" t="str">
        <f t="shared" si="9" ref="F48:G48">B62</f>
        <v> Monterey Bay </v>
      </c>
      <c r="G48" s="76" t="str">
        <f t="shared" si="9"/>
        <v> Sporting JAX </v>
      </c>
      <c r="H48" s="3" t="str">
        <f>IF(OR(H75="u2.5",H76="u2.5",AND(G75="over",H75="over"),AND(G76="over",H76="over")),"faulty","good")</f>
        <v>faulty</v>
      </c>
      <c r="I48" s="3" t="str">
        <f>IF($D46&gt;4.9,"5 goals",IF($D46&gt;4.45,"5goals",IF($D46&gt;3.45,"4goals",IF($D46&gt;2.45,"3goals","2goals or less"))))</f>
        <v>4goals</v>
      </c>
      <c r="J48" s="75" t="str">
        <f>C62</f>
        <v> Sporting JAX </v>
      </c>
      <c r="K48" s="75" t="str">
        <f>B62</f>
        <v> Monterey Bay </v>
      </c>
      <c r="L48" s="3"/>
      <c r="M48" s="3" t="str">
        <f>IF($D46&gt;4.9,"5 goals",IF($D46&gt;4.45,"5goals",IF($D46&gt;3.45,"4goals",IF($D46&gt;2.45,"3goals","2goals or less"))))</f>
        <v>4goals</v>
      </c>
      <c r="N48" s="75" t="str">
        <f t="shared" si="10" ref="N48:O48">B63</f>
        <v> Sporting JAX </v>
      </c>
      <c r="O48" s="75" t="str">
        <f t="shared" si="10"/>
        <v> Monterey Bay </v>
      </c>
      <c r="P48" s="3" t="str">
        <f>IF(OR($H$77="u2.5",$H$78="u2.5",AND($G$77="over",$H$77="over"),AND($G$78="over",$H$78="over")),"faulty","good")</f>
        <v>faulty</v>
      </c>
      <c r="Q48" s="3" t="str">
        <f>IF($D46&gt;4.9,"5 goals",IF($D46&gt;4.45,"5goals",IF($D46&gt;3.45,"4goals",IF($D46&gt;2.45,"3goals","2goals or less"))))</f>
        <v>4goals</v>
      </c>
      <c r="R48" s="75" t="str">
        <f>C63</f>
        <v> Monterey Bay </v>
      </c>
      <c r="S48" s="75" t="str">
        <f>B63</f>
        <v> Sporting JAX </v>
      </c>
      <c r="T48" s="3"/>
      <c r="U48" s="3" t="str">
        <f>IF($D46&gt;4.9,"5 goals",IF($D46&gt;4.45,"5goals",IF($D46&gt;3.45,"4goals",IF($D46&gt;2.45,"3goals","2goals or less"))))</f>
        <v>4goals</v>
      </c>
      <c r="V48" s="75" t="s">
        <v>58</v>
      </c>
      <c r="W48" s="75" t="s">
        <v>59</v>
      </c>
      <c r="X48" s="3"/>
      <c r="Y48" s="3"/>
      <c r="Z48" s="3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8"/>
      <c r="AO48" s="18"/>
    </row>
    <row r="49" spans="8:8" ht="39.0" hidden="1" customHeight="1">
      <c r="A49" s="77">
        <f t="shared" si="11" ref="A49:A53">AA93</f>
        <v>93.75</v>
      </c>
      <c r="B49" s="78"/>
      <c r="C49" s="69"/>
      <c r="D49" s="4" t="e">
        <f t="shared" si="12" ref="D49:D53">IF($E$46-(AVERAGE(VLOOKUP(F50,$C$6:$V$42,20),VLOOKUP(G50,$C$6:$V$42,20)))&gt;-0.21,"well","not")</f>
        <v>#N/A</v>
      </c>
      <c r="E49" s="7" t="s">
        <v>60</v>
      </c>
      <c r="F49" s="7">
        <f>VLOOKUP($F$48,$C$4:$T$42,14,FALSE)</f>
        <v>0.7265275707898657</v>
      </c>
      <c r="G49" s="7">
        <f>VLOOKUP($G$48,$C$4:$T$42,16,FALSE)</f>
        <v>0.5795847750865052</v>
      </c>
      <c r="H49" s="7"/>
      <c r="I49" s="7" t="s">
        <v>60</v>
      </c>
      <c r="J49" s="7">
        <f>VLOOKUP($J$48,$C$4:$T$42,14,FALSE)</f>
        <v>0.9935419771485344</v>
      </c>
      <c r="K49" s="7">
        <f>VLOOKUP($K$48,$C$4:$T$42,16,FALSE)</f>
        <v>0.6920415224913494</v>
      </c>
      <c r="L49" s="7"/>
      <c r="M49" s="7" t="s">
        <v>60</v>
      </c>
      <c r="N49" s="7">
        <f>VLOOKUP($N$48,$C$4:$T$42,14,FALSE)</f>
        <v>0.9935419771485344</v>
      </c>
      <c r="O49" s="7">
        <f>VLOOKUP($O$48,$C$4:$T$42,16,FALSE)</f>
        <v>0.6920415224913494</v>
      </c>
      <c r="P49" s="7"/>
      <c r="Q49" s="7" t="s">
        <v>60</v>
      </c>
      <c r="R49" s="7">
        <f>VLOOKUP($R$48,$C$4:$T$42,14,FALSE)</f>
        <v>0.7265275707898657</v>
      </c>
      <c r="S49" s="7">
        <f>VLOOKUP($S$48,$C$4:$T$42,16,FALSE)</f>
        <v>0.5795847750865052</v>
      </c>
      <c r="T49" s="7"/>
      <c r="U49" s="7" t="s">
        <v>60</v>
      </c>
      <c r="V49" s="7" t="e">
        <f>VLOOKUP($V$48,$C$4:$T$42,14,FALSE)</f>
        <v>#N/A</v>
      </c>
      <c r="W49" s="7" t="e">
        <f>VLOOKUP($W$48,$C$4:$T$42,16,FALSE)</f>
        <v>#N/A</v>
      </c>
      <c r="X49" s="7"/>
      <c r="Y49" s="7"/>
      <c r="Z49" s="7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18"/>
      <c r="AO49" s="18"/>
    </row>
    <row r="50" spans="8:8" ht="24.0" hidden="1" customHeight="1">
      <c r="A50" s="79">
        <f t="shared" si="11"/>
        <v>0.0</v>
      </c>
      <c r="B50" s="80"/>
      <c r="C50" s="81"/>
      <c r="D50" s="16" t="e">
        <f t="shared" si="12"/>
        <v>#N/A</v>
      </c>
      <c r="E50" s="3" t="s">
        <v>16</v>
      </c>
      <c r="F50" s="3">
        <f>VLOOKUP($F$48,$C$4:$T$42,15,FALSE)</f>
        <v>1.0072314049586777</v>
      </c>
      <c r="G50" s="3">
        <f>VLOOKUP($G$48,$C$4:$T$42,17,FALSE)</f>
        <v>1.2543903662819869</v>
      </c>
      <c r="H50" s="3"/>
      <c r="I50" s="3" t="s">
        <v>16</v>
      </c>
      <c r="J50" s="3">
        <f>VLOOKUP($J$48,$C$4:$T$42,15,FALSE)</f>
        <v>2.4104683195592287</v>
      </c>
      <c r="K50" s="3">
        <f>VLOOKUP($K$48,$C$4:$T$42,17,FALSE)</f>
        <v>1.5052684395383842</v>
      </c>
      <c r="L50" s="3"/>
      <c r="M50" s="3" t="s">
        <v>16</v>
      </c>
      <c r="N50" s="3">
        <f>VLOOKUP($N$48,$C$4:$T$42,15,FALSE)</f>
        <v>2.4104683195592287</v>
      </c>
      <c r="O50" s="3">
        <f>VLOOKUP($O$48,$C$4:$T$42,17,FALSE)</f>
        <v>1.5052684395383842</v>
      </c>
      <c r="P50" s="3"/>
      <c r="Q50" s="3" t="s">
        <v>16</v>
      </c>
      <c r="R50" s="3">
        <f>VLOOKUP(R48,$C$4:$T$42,15,FALSE)</f>
        <v>1.0072314049586777</v>
      </c>
      <c r="S50" s="3">
        <f>VLOOKUP(S48,$C$4:$T$42,17,FALSE)</f>
        <v>1.2543903662819869</v>
      </c>
      <c r="T50" s="3"/>
      <c r="U50" s="3" t="s">
        <v>16</v>
      </c>
      <c r="V50" s="3" t="e">
        <f>VLOOKUP($V$48,$C$4:$T$42,15,FALSE)</f>
        <v>#N/A</v>
      </c>
      <c r="W50" s="3" t="e">
        <f>VLOOKUP($W$48,$C$4:$T$42,17,FALSE)</f>
        <v>#N/A</v>
      </c>
      <c r="X50" s="3"/>
      <c r="Y50" s="3"/>
      <c r="Z50" s="3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8"/>
      <c r="AO50" s="18"/>
    </row>
    <row r="51" spans="8:8" ht="22.5" hidden="1" customHeight="1">
      <c r="A51" s="77">
        <f t="shared" si="11"/>
        <v>0.0</v>
      </c>
      <c r="B51" s="78"/>
      <c r="C51" s="69"/>
      <c r="D51" s="4" t="e">
        <f t="shared" si="12"/>
        <v>#N/A</v>
      </c>
      <c r="E51" s="7" t="s">
        <v>61</v>
      </c>
      <c r="F51" s="38">
        <f>I45</f>
        <v>1.3860000000000001</v>
      </c>
      <c r="G51" s="38">
        <f>M45</f>
        <v>1.3752</v>
      </c>
      <c r="H51" s="7"/>
      <c r="I51" s="7" t="s">
        <v>61</v>
      </c>
      <c r="J51" s="38">
        <f>I45</f>
        <v>1.3860000000000001</v>
      </c>
      <c r="K51" s="38">
        <f>M45</f>
        <v>1.3752</v>
      </c>
      <c r="L51" s="7"/>
      <c r="M51" s="7" t="s">
        <v>61</v>
      </c>
      <c r="N51" s="38">
        <f>I45</f>
        <v>1.3860000000000001</v>
      </c>
      <c r="O51" s="38">
        <f>M45</f>
        <v>1.3752</v>
      </c>
      <c r="P51" s="7"/>
      <c r="Q51" s="7" t="s">
        <v>61</v>
      </c>
      <c r="R51" s="38">
        <f>I45</f>
        <v>1.3860000000000001</v>
      </c>
      <c r="S51" s="38">
        <f>M45</f>
        <v>1.3752</v>
      </c>
      <c r="T51" s="7"/>
      <c r="U51" s="7" t="s">
        <v>61</v>
      </c>
      <c r="V51" s="38">
        <f>I45</f>
        <v>1.3860000000000001</v>
      </c>
      <c r="W51" s="38">
        <f>M45</f>
        <v>1.3752</v>
      </c>
      <c r="X51" s="7"/>
      <c r="Y51" s="7"/>
      <c r="Z51" s="7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18"/>
      <c r="AO51" s="18"/>
    </row>
    <row r="52" spans="8:8" ht="21.0" hidden="1" customHeight="1">
      <c r="A52" s="79">
        <f t="shared" si="11"/>
        <v>0.0</v>
      </c>
      <c r="B52" s="80"/>
      <c r="C52" s="81"/>
      <c r="D52" s="16" t="e">
        <f t="shared" si="12"/>
        <v>#N/A</v>
      </c>
      <c r="E52" s="3" t="s">
        <v>62</v>
      </c>
      <c r="F52" s="3">
        <f>F51*G50*G53</f>
        <v>1.3216096501690342</v>
      </c>
      <c r="G52" s="3">
        <f>G51*F50*G49</f>
        <v>0.8028087377391403</v>
      </c>
      <c r="H52" s="3"/>
      <c r="I52" s="3" t="s">
        <v>62</v>
      </c>
      <c r="J52" s="3">
        <f>J51*K50*K53</f>
        <v>2.249216026584849</v>
      </c>
      <c r="K52" s="3">
        <f>K51*J50*K49</f>
        <v>2.29403185678744</v>
      </c>
      <c r="L52" s="3"/>
      <c r="M52" s="3" t="s">
        <v>62</v>
      </c>
      <c r="N52" s="3">
        <f>N51*O50*O53</f>
        <v>2.249216026584849</v>
      </c>
      <c r="O52" s="3">
        <f>O51*N50*O49</f>
        <v>2.29403185678744</v>
      </c>
      <c r="P52" s="3"/>
      <c r="Q52" s="3" t="s">
        <v>62</v>
      </c>
      <c r="R52" s="3">
        <f>R51*S50*S53</f>
        <v>1.3216096501690342</v>
      </c>
      <c r="S52" s="3">
        <f>S51*R50*S49</f>
        <v>0.8028087377391403</v>
      </c>
      <c r="T52" s="3"/>
      <c r="U52" s="3" t="s">
        <v>62</v>
      </c>
      <c r="V52" s="3" t="e">
        <f>V51*W50*W53</f>
        <v>#N/A</v>
      </c>
      <c r="W52" s="3" t="e">
        <f>W51*V50*W49</f>
        <v>#N/A</v>
      </c>
      <c r="X52" s="3"/>
      <c r="Y52" s="3"/>
      <c r="Z52" s="3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8"/>
      <c r="AO52" s="18"/>
    </row>
    <row r="53" spans="8:8" ht="32.25" hidden="1" customHeight="1">
      <c r="A53" s="77">
        <f t="shared" si="11"/>
        <v>0.0</v>
      </c>
      <c r="B53" s="78"/>
      <c r="C53" s="69"/>
      <c r="D53" s="4" t="str">
        <f t="shared" si="12"/>
        <v>well</v>
      </c>
      <c r="E53" s="7" t="s">
        <v>17</v>
      </c>
      <c r="F53" s="7">
        <f>VLOOKUP($F$48,$C$4:$U$42,18,FALSE)</f>
        <v>0.033636363636363624</v>
      </c>
      <c r="G53" s="7">
        <f>F49+F53</f>
        <v>0.7601639344262295</v>
      </c>
      <c r="H53" s="7"/>
      <c r="I53" s="7"/>
      <c r="J53" s="7">
        <f>VLOOKUP($J$48,$C$4:$U$42,18,FALSE)</f>
        <v>0.08454545454545455</v>
      </c>
      <c r="K53" s="7">
        <f>J49+J53</f>
        <v>1.0780874316939886</v>
      </c>
      <c r="L53" s="7"/>
      <c r="M53" s="7"/>
      <c r="N53" s="7">
        <f>VLOOKUP($N$48,$C$4:$U$42,18,FALSE)</f>
        <v>0.08454545454545455</v>
      </c>
      <c r="O53" s="7">
        <f>N49+N53</f>
        <v>1.0780874316939886</v>
      </c>
      <c r="P53" s="7"/>
      <c r="Q53" s="7"/>
      <c r="R53" s="7">
        <f>VLOOKUP($R$48,$C$4:$U$42,18,FALSE)</f>
        <v>0.033636363636363624</v>
      </c>
      <c r="S53" s="7">
        <f>R49+R53</f>
        <v>0.7601639344262295</v>
      </c>
      <c r="T53" s="7"/>
      <c r="U53" s="7"/>
      <c r="V53" s="7" t="e">
        <f>VLOOKUP($V$48,$C$4:$U$42,18,FALSE)</f>
        <v>#N/A</v>
      </c>
      <c r="W53" s="7" t="e">
        <f>V49+V53</f>
        <v>#N/A</v>
      </c>
      <c r="X53" s="7"/>
      <c r="Y53" s="7"/>
      <c r="Z53" s="7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18"/>
      <c r="AO53" s="18"/>
    </row>
    <row r="54" spans="8:8" ht="15.75" customHeight="1">
      <c r="A54" s="79" t="str">
        <f>IF(OR(Sheet2!W26&gt;1,T88="not",U88="not",P88="both",P89="both",Sheet2!Y25="D'over",Sheet2!AX25="D'over",Sheet2!BW25="D'over",Sheet2!CV25="D'over",O89="hold1",O90="hold2"),"",_xlfn.TEXTJOIN(" + ", ,S82,U82,W84))</f>
        <v>0.75 + 3.5 + 2</v>
      </c>
      <c r="B54" s="82" t="str">
        <f>_xlfn.TEXTJOIN("/ ", ,_xlfn.IFERROR(T99,""),_xlfn.IFERROR(T100,""))</f>
        <v/>
      </c>
      <c r="C54" s="83" t="str">
        <f>IF(OR(H69&lt;0,I102&lt;0),"Negative","positive")</f>
        <v>Negative</v>
      </c>
      <c r="D54" s="16"/>
      <c r="E54" s="84" t="s">
        <v>63</v>
      </c>
      <c r="F54" s="15" t="str">
        <f>IF(Sheet2!O34="yes",Sheet2!S37,IF(Sheet2!O24="both tabs",Sheet2!S33,Sheet2!O33))</f>
        <v>2 handicap</v>
      </c>
      <c r="G54" s="84" t="str">
        <f>_xlfn.TEXTJOIN(",  ", ,A1,Sheet2!X24)</f>
        <v>2,  u4.5</v>
      </c>
      <c r="H54" s="3" t="str">
        <f>IF(AND(O92&gt;70,P97&gt;60,H48="good"),"under",IF(AND(H48="faulty",O92&gt;70,P97&gt;60),"under+1","run"))</f>
        <v>run</v>
      </c>
      <c r="I54" s="84" t="s">
        <v>63</v>
      </c>
      <c r="J54" s="15" t="str">
        <f>IF(Sheet2!AN34="yes",Sheet2!AR37,IF(Sheet2!AN24="both tabs",Sheet2!AR33,Sheet2!AN33))</f>
        <v>2 handicap</v>
      </c>
      <c r="K54" s="84" t="str">
        <f>_xlfn.TEXTJOIN(",  ", ,B1,Sheet2!AW24)</f>
        <v>1,  don't choose</v>
      </c>
      <c r="L54" s="3"/>
      <c r="M54" s="84" t="s">
        <v>63</v>
      </c>
      <c r="N54" s="15" t="str">
        <f>IF(Sheet2!BM34="yes",Sheet2!BQ37,IF(Sheet2!BM24="both tabs",Sheet2!BQ33,Sheet2!BM33))</f>
        <v>2 handicap</v>
      </c>
      <c r="O54" s="84" t="str">
        <f>_xlfn.TEXTJOIN(",  ", ,A2,Sheet2!BV24)</f>
        <v>1,  don't choose</v>
      </c>
      <c r="P54" s="3" t="str">
        <f>IF(AND($O$93&gt;70,$P$98&gt;60,$P$48="good"),"under",IF(AND($P$48="faulty",$O$93&gt;70,$P$98&gt;60),"under+1","run"))</f>
        <v>run</v>
      </c>
      <c r="Q54" s="84" t="s">
        <v>63</v>
      </c>
      <c r="R54" s="15" t="str">
        <f>IF(Sheet2!CL34="yes",Sheet2!CP37,IF(Sheet2!CL24="both tabs",Sheet2!CP33,Sheet2!CL33))</f>
        <v>2 handicap</v>
      </c>
      <c r="S54" s="84" t="str">
        <f>_xlfn.TEXTJOIN(",  ", ,B2,Sheet2!CU24)</f>
        <v>2,  u4.5</v>
      </c>
      <c r="T54" s="3"/>
      <c r="U54" s="84" t="s">
        <v>63</v>
      </c>
      <c r="V54" s="15" t="e">
        <f>IF(Sheet2!DK34="yes",Sheet2!DO37,IF(Sheet2!DK24="both tabs",Sheet2!DO33,Sheet2!DK33))</f>
        <v>#N/A</v>
      </c>
      <c r="W54" s="84" t="e">
        <f>_xlfn.TEXTJOIN(",  ", ,A3,Sheet2!DT24)</f>
        <v>#N/A</v>
      </c>
      <c r="X54" s="3"/>
      <c r="Y54" s="3"/>
      <c r="Z54" s="3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8"/>
      <c r="AO54" s="18"/>
    </row>
    <row r="55" spans="8:8" ht="15.75" hidden="1" customHeight="1">
      <c r="A55" s="85"/>
      <c r="B55" s="7"/>
      <c r="C55" s="69"/>
      <c r="D55" s="7" t="e">
        <f t="shared" si="13" ref="D55:D59">IF($E$46-(AVERAGE(VLOOKUP(F56,$C$6:$V$42,20),VLOOKUP(G56,$C$6:$V$42,20)))&gt;-0.21,"well","not")</f>
        <v>#N/A</v>
      </c>
      <c r="E55" s="7"/>
      <c r="F55" s="70" t="s">
        <v>7</v>
      </c>
      <c r="G55" s="70" t="s">
        <v>6</v>
      </c>
      <c r="H55" s="7"/>
      <c r="I55" s="7"/>
      <c r="J55" s="70" t="s">
        <v>7</v>
      </c>
      <c r="K55" s="70" t="s">
        <v>6</v>
      </c>
      <c r="L55" s="7"/>
      <c r="M55" s="7"/>
      <c r="N55" s="70" t="s">
        <v>7</v>
      </c>
      <c r="O55" s="70" t="s">
        <v>6</v>
      </c>
      <c r="P55" s="7"/>
      <c r="Q55" s="7"/>
      <c r="R55" s="70" t="s">
        <v>7</v>
      </c>
      <c r="S55" s="70" t="s">
        <v>6</v>
      </c>
      <c r="T55" s="7"/>
      <c r="U55" s="7"/>
      <c r="V55" s="70" t="s">
        <v>7</v>
      </c>
      <c r="W55" s="70" t="s">
        <v>6</v>
      </c>
      <c r="X55" s="7"/>
      <c r="Y55" s="7"/>
      <c r="Z55" s="7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18"/>
      <c r="AO55" s="18"/>
    </row>
    <row r="56" spans="8:8" ht="15.75" hidden="1" customHeight="1">
      <c r="A56" s="86"/>
      <c r="B56" s="3"/>
      <c r="C56" s="81"/>
      <c r="D56" s="3" t="e">
        <f t="shared" si="13"/>
        <v>#N/A</v>
      </c>
      <c r="E56" s="3" t="s">
        <v>60</v>
      </c>
      <c r="F56" s="3">
        <f>VLOOKUP(F48,$C$6:$U$42,16,FALSE)</f>
        <v>0.6920415224913494</v>
      </c>
      <c r="G56" s="3">
        <f>VLOOKUP(G48,$C$6:$U$42,14,FALSE)</f>
        <v>0.9935419771485344</v>
      </c>
      <c r="H56" s="3"/>
      <c r="I56" s="3" t="s">
        <v>60</v>
      </c>
      <c r="J56" s="3">
        <f>VLOOKUP(J48,$C$6:$U$42,16,FALSE)</f>
        <v>0.5795847750865052</v>
      </c>
      <c r="K56" s="3">
        <f>VLOOKUP(K48,$C$6:$U$42,14,FALSE)</f>
        <v>0.7265275707898657</v>
      </c>
      <c r="L56" s="3"/>
      <c r="M56" s="3" t="s">
        <v>60</v>
      </c>
      <c r="N56" s="3">
        <f>VLOOKUP(N48,$C$6:$U$42,16,FALSE)</f>
        <v>0.5795847750865052</v>
      </c>
      <c r="O56" s="3">
        <f>VLOOKUP(O48,$C$6:$U$42,14,FALSE)</f>
        <v>0.7265275707898657</v>
      </c>
      <c r="P56" s="3"/>
      <c r="Q56" s="3" t="s">
        <v>60</v>
      </c>
      <c r="R56" s="3">
        <f>VLOOKUP(R48,$C$6:$U$42,16,FALSE)</f>
        <v>0.6920415224913494</v>
      </c>
      <c r="S56" s="3">
        <f>VLOOKUP(S48,$C$6:$U$42,14,FALSE)</f>
        <v>0.9935419771485344</v>
      </c>
      <c r="T56" s="3"/>
      <c r="U56" s="3" t="s">
        <v>60</v>
      </c>
      <c r="V56" s="3" t="e">
        <f>VLOOKUP(V48,$C$6:$U$42,16,FALSE)</f>
        <v>#N/A</v>
      </c>
      <c r="W56" s="3" t="e">
        <f>VLOOKUP(W48,$C$6:$U$42,14,FALSE)</f>
        <v>#N/A</v>
      </c>
      <c r="X56" s="3"/>
      <c r="Y56" s="3"/>
      <c r="Z56" s="3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8"/>
      <c r="AO56" s="18"/>
    </row>
    <row r="57" spans="8:8" ht="15.75" hidden="1" customHeight="1">
      <c r="A57" s="85"/>
      <c r="B57" s="7"/>
      <c r="C57" s="69"/>
      <c r="D57" s="7" t="e">
        <f t="shared" si="13"/>
        <v>#N/A</v>
      </c>
      <c r="E57" s="7" t="s">
        <v>16</v>
      </c>
      <c r="F57" s="7">
        <f>VLOOKUP(F48,$C$6:$U$42,17, )</f>
        <v>1.5052684395383842</v>
      </c>
      <c r="G57" s="7">
        <f>VLOOKUP(G48,$C$6:$U$42,15,FALSE)</f>
        <v>2.4104683195592287</v>
      </c>
      <c r="H57" s="7"/>
      <c r="I57" s="7" t="s">
        <v>16</v>
      </c>
      <c r="J57" s="7">
        <f>VLOOKUP(J48,$C$6:$U$42,17, )</f>
        <v>1.2543903662819869</v>
      </c>
      <c r="K57" s="7">
        <f>VLOOKUP(K48,$C$6:$U$42,15,FALSE)</f>
        <v>1.0072314049586777</v>
      </c>
      <c r="L57" s="7"/>
      <c r="M57" s="7" t="s">
        <v>16</v>
      </c>
      <c r="N57" s="7">
        <f>VLOOKUP(N48,$C$6:$U$42,17, )</f>
        <v>1.2543903662819869</v>
      </c>
      <c r="O57" s="7">
        <f>VLOOKUP(O48,$C$6:$U$42,15,FALSE)</f>
        <v>1.0072314049586777</v>
      </c>
      <c r="P57" s="7"/>
      <c r="Q57" s="7" t="s">
        <v>16</v>
      </c>
      <c r="R57" s="7">
        <f>VLOOKUP(R48,$C$6:$U$42,17, )</f>
        <v>1.5052684395383842</v>
      </c>
      <c r="S57" s="7">
        <f>VLOOKUP(S48,$C$6:$U$42,15,FALSE)</f>
        <v>2.4104683195592287</v>
      </c>
      <c r="T57" s="7"/>
      <c r="U57" s="7" t="s">
        <v>16</v>
      </c>
      <c r="V57" s="7" t="e">
        <f>VLOOKUP(V48,$C$6:$U$42,17, )</f>
        <v>#N/A</v>
      </c>
      <c r="W57" s="7" t="e">
        <f>VLOOKUP(W48,$C$6:$U$42,15,FALSE)</f>
        <v>#N/A</v>
      </c>
      <c r="X57" s="7"/>
      <c r="Y57" s="7"/>
      <c r="Z57" s="7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18"/>
      <c r="AO57" s="18"/>
    </row>
    <row r="58" spans="8:8" ht="15.75" hidden="1" customHeight="1">
      <c r="A58" s="86"/>
      <c r="B58" s="3"/>
      <c r="C58" s="81"/>
      <c r="D58" s="3" t="e">
        <f t="shared" si="13"/>
        <v>#N/A</v>
      </c>
      <c r="E58" s="3" t="s">
        <v>61</v>
      </c>
      <c r="F58" s="31">
        <f>$I$45</f>
        <v>1.3860000000000001</v>
      </c>
      <c r="G58" s="31">
        <f>$E$45</f>
        <v>1.3668</v>
      </c>
      <c r="H58" s="3"/>
      <c r="I58" s="3" t="s">
        <v>61</v>
      </c>
      <c r="J58" s="31">
        <f>$I$45</f>
        <v>1.3860000000000001</v>
      </c>
      <c r="K58" s="31">
        <f>$E$45</f>
        <v>1.3668</v>
      </c>
      <c r="L58" s="3"/>
      <c r="M58" s="3" t="s">
        <v>61</v>
      </c>
      <c r="N58" s="31">
        <f>$I$45</f>
        <v>1.3860000000000001</v>
      </c>
      <c r="O58" s="31">
        <f>$E$45</f>
        <v>1.3668</v>
      </c>
      <c r="P58" s="3"/>
      <c r="Q58" s="3" t="s">
        <v>61</v>
      </c>
      <c r="R58" s="31">
        <f>$I$45</f>
        <v>1.3860000000000001</v>
      </c>
      <c r="S58" s="31">
        <f>$E$45</f>
        <v>1.3668</v>
      </c>
      <c r="T58" s="3"/>
      <c r="U58" s="3" t="s">
        <v>61</v>
      </c>
      <c r="V58" s="31">
        <f>$I$45</f>
        <v>1.3860000000000001</v>
      </c>
      <c r="W58" s="31">
        <f>$E$45</f>
        <v>1.3668</v>
      </c>
      <c r="X58" s="3"/>
      <c r="Y58" s="3"/>
      <c r="Z58" s="3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8"/>
      <c r="AO58" s="18"/>
    </row>
    <row r="59" spans="8:8" ht="45.75" hidden="1" customHeight="1">
      <c r="A59" s="87"/>
      <c r="B59" s="7"/>
      <c r="C59" s="69"/>
      <c r="D59" s="7" t="e">
        <f t="shared" si="13"/>
        <v>#VALUE!</v>
      </c>
      <c r="E59" s="7" t="s">
        <v>62</v>
      </c>
      <c r="F59" s="7">
        <f>F56*G57*F58</f>
        <v>2.3120478137779177</v>
      </c>
      <c r="G59" s="7">
        <f>(G56+G60)*F57*G58</f>
        <v>2.2180580556538043</v>
      </c>
      <c r="H59" s="7"/>
      <c r="I59" s="7" t="s">
        <v>62</v>
      </c>
      <c r="J59" s="7">
        <f>J56*K57*J58</f>
        <v>0.8091135184020133</v>
      </c>
      <c r="K59" s="7">
        <f>(K56+K60)*J57*K58</f>
        <v>1.3033016376991597</v>
      </c>
      <c r="L59" s="7"/>
      <c r="M59" s="7" t="s">
        <v>62</v>
      </c>
      <c r="N59" s="7">
        <f>N56*O57*N58</f>
        <v>0.8091135184020133</v>
      </c>
      <c r="O59" s="7">
        <f>(O56+O60)*N57*O58</f>
        <v>1.3033016376991597</v>
      </c>
      <c r="P59" s="7"/>
      <c r="Q59" s="7" t="s">
        <v>62</v>
      </c>
      <c r="R59" s="7">
        <f>R56*S57*R58</f>
        <v>2.3120478137779177</v>
      </c>
      <c r="S59" s="7">
        <f>(S56+S60)*R57*S58</f>
        <v>2.2180580556538043</v>
      </c>
      <c r="T59" s="7"/>
      <c r="U59" s="7" t="s">
        <v>62</v>
      </c>
      <c r="V59" s="7" t="e">
        <f>V56*W57*V58</f>
        <v>#N/A</v>
      </c>
      <c r="W59" s="7" t="e">
        <f>(W56+W60)*V57*W58</f>
        <v>#N/A</v>
      </c>
      <c r="X59" s="7"/>
      <c r="Y59" s="7"/>
      <c r="Z59" s="7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18"/>
      <c r="AO59" s="18"/>
    </row>
    <row r="60" spans="8:8" ht="31.5" hidden="1" customHeight="1">
      <c r="A60" s="88"/>
      <c r="B60" s="3"/>
      <c r="C60" s="81"/>
      <c r="D60" s="3" t="str">
        <f>IF($E$46-(AVERAGE(VLOOKUP(N48,$C$6:$V$42,20),VLOOKUP(O48,$C$6:$V$42,20)))&gt;-0.21,"well","not")</f>
        <v>not</v>
      </c>
      <c r="E60" s="3" t="s">
        <v>17</v>
      </c>
      <c r="F60" s="3"/>
      <c r="G60" s="3">
        <f>VLOOKUP(G48,$C$6:$U$45,18, )</f>
        <v>0.08454545454545455</v>
      </c>
      <c r="H60" s="3"/>
      <c r="I60" s="3" t="s">
        <v>17</v>
      </c>
      <c r="J60" s="3"/>
      <c r="K60" s="3">
        <f>VLOOKUP(K48,$C$6:$U$45,18, )</f>
        <v>0.033636363636363624</v>
      </c>
      <c r="L60" s="3"/>
      <c r="M60" s="3" t="s">
        <v>17</v>
      </c>
      <c r="N60" s="3"/>
      <c r="O60" s="3">
        <f>VLOOKUP(O48,$C$6:$U$45,18, )</f>
        <v>0.033636363636363624</v>
      </c>
      <c r="P60" s="3"/>
      <c r="Q60" s="3" t="s">
        <v>17</v>
      </c>
      <c r="R60" s="3"/>
      <c r="S60" s="3">
        <f>VLOOKUP(S48,$C$6:$U$45,18, )</f>
        <v>0.08454545454545455</v>
      </c>
      <c r="T60" s="3"/>
      <c r="U60" s="3" t="s">
        <v>17</v>
      </c>
      <c r="V60" s="3"/>
      <c r="W60" s="3" t="e">
        <f>VLOOKUP(W48,$C$6:$U$45,18, )</f>
        <v>#N/A</v>
      </c>
      <c r="X60" s="3"/>
      <c r="Y60" s="3"/>
      <c r="Z60" s="3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8"/>
      <c r="AO60" s="18"/>
    </row>
    <row r="61" spans="8:8" ht="27.0" hidden="1" customHeight="1">
      <c r="A61" s="87"/>
      <c r="B61" s="7"/>
      <c r="C61" s="69"/>
      <c r="D61" s="7" t="str">
        <f>IF($E$46-(AVERAGE(VLOOKUP(R48,$C$6:$V$42,20),VLOOKUP(S48,$C$6:$V$42,20)))&gt;-0.21,"well","not")</f>
        <v>not</v>
      </c>
      <c r="E61" s="7" t="str">
        <f>Sheet2!J28</f>
        <v>check</v>
      </c>
      <c r="F61" s="7" t="str">
        <f>IF(Sheet2!S38="both sides",Sheet2!S38,IF(Sheet2!S33="2 handicap",Sheet2!S37,Sheet2!P26))</f>
        <v>okay away</v>
      </c>
      <c r="G61" s="7" t="str">
        <f>_xlfn.TEXTJOIN(", ", ,Sheet2!C26,Sheet2!C28,Sheet2!U23)</f>
        <v>equal, medium, wins</v>
      </c>
      <c r="H61" s="89" t="str">
        <f>_xlfn.TEXTJOIN(" ;", ,IF(O81&lt;25,H54,N81),IF(OR(L75="swiped",L76="swiped"),"yes",""))</f>
        <v>1</v>
      </c>
      <c r="I61" s="7" t="str">
        <f>Sheet2!AI28</f>
        <v>check</v>
      </c>
      <c r="J61" s="7" t="str">
        <f>IF(Sheet2!AR38="both sides",Sheet2!AR38,IF(Sheet2!AR33="2 handicap",Sheet2!AR37,Sheet2!AO26))</f>
        <v>okay away</v>
      </c>
      <c r="K61" s="7" t="str">
        <f>_xlfn.TEXTJOIN(", ", ,Sheet2!AB26,Sheet2!AB28,Sheet2!AT23)</f>
        <v>equal, medium, Goals</v>
      </c>
      <c r="L61" s="7"/>
      <c r="M61" s="7" t="str">
        <f>Sheet2!BH28</f>
        <v>check</v>
      </c>
      <c r="N61" s="7" t="str">
        <f>IF(Sheet2!BQ38="both sides",Sheet2!BQ38,IF(Sheet2!BQ38="both sides",Sheet2!S38,IF(Sheet2!BQ33="2 handicap",Sheet2!BQ37,Sheet2!BN26)))</f>
        <v>okay away</v>
      </c>
      <c r="O61" s="7" t="str">
        <f>_xlfn.TEXTJOIN(", ", ,Sheet2!BA26,Sheet2!BA28,Sheet2!BS23)</f>
        <v>equal, medium, Goals</v>
      </c>
      <c r="P61" s="89" t="str">
        <f>_xlfn.TEXTJOIN(" ;", ,IF(O83&lt;25,P54,N83),IF(OR(L77="swiped",L78="swiped"),"yes",""))</f>
        <v>1</v>
      </c>
      <c r="Q61" s="7" t="str">
        <f>Sheet2!CG28</f>
        <v>check</v>
      </c>
      <c r="R61" s="7" t="str">
        <f>IF(Sheet2!CP38="both sides",Sheet2!CP38,IF(Sheet2!CP33="2 handicap",Sheet2!CP37,Sheet2!CM26))</f>
        <v>tired</v>
      </c>
      <c r="S61" s="7" t="str">
        <f>_xlfn.TEXTJOIN(", ", ,Sheet2!BZ26,Sheet2!BZ28,Sheet2!CR23)</f>
        <v>equal, medium, wins</v>
      </c>
      <c r="T61" s="7"/>
      <c r="U61" s="7" t="str">
        <f>Sheet2!DF28</f>
        <v>u2.5+</v>
      </c>
      <c r="V61" s="7" t="e">
        <f>IF(Sheet2!DO38="both sides",Sheet2!DO38,IF(Sheet2!DO33="2 handicap",Sheet2!DO37,Sheet2!DL26))</f>
        <v>#N/A</v>
      </c>
      <c r="W61" s="7" t="e">
        <f>_xlfn.TEXTJOIN(", ", ,Sheet2!CY26,Sheet2!CY28,Sheet2!DQ23)</f>
        <v>#N/A</v>
      </c>
      <c r="X61" s="7"/>
      <c r="Y61" s="7"/>
      <c r="Z61" s="7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18"/>
      <c r="AO61" s="18"/>
    </row>
    <row r="62" spans="8:8" ht="32.25" hidden="1" customHeight="1">
      <c r="A62" s="88">
        <v>1.0</v>
      </c>
      <c r="B62" s="90" t="str">
        <f t="shared" si="14" ref="B62:C62">B69</f>
        <v> Monterey Bay </v>
      </c>
      <c r="C62" s="91" t="str">
        <f t="shared" si="14"/>
        <v> Sporting JAX </v>
      </c>
      <c r="D62" s="3" t="str">
        <f>IF($E$46-(AVERAGE(VLOOKUP(V48,$C$6:$V$42,20),VLOOKUP(W48,$C$6:$V$42,20)))&gt;-0.21,"well","not")</f>
        <v>well</v>
      </c>
      <c r="E62" s="65" t="str">
        <f>IF(CORREL($I6:$I42,$M6:$M42)&gt;0.4,"settled","not")</f>
        <v>not</v>
      </c>
      <c r="F62" s="3" t="str">
        <f>Sheet2!V23</f>
        <v>under</v>
      </c>
      <c r="G62" s="15" t="str">
        <f>Sheet2!O14</f>
        <v>not met</v>
      </c>
      <c r="H62" s="92" t="str">
        <f>IF(P97&lt;60,"",IF(AND(OR(A1="yes",A1="wow"),OR(B1="yes",B1="wow")),"NO",IF(OR(OR(A1="yes",A1="wow"),OR(B1="yes",B1="wow")),"+1",H54)))</f>
        <v/>
      </c>
      <c r="I62" s="15" t="str">
        <f>IF(CORREL($I6:$I42,$M6:$M42)&gt;0.4,"settled","not")</f>
        <v>not</v>
      </c>
      <c r="J62" s="3" t="str">
        <f>Sheet2!AU23</f>
        <v>over</v>
      </c>
      <c r="K62" s="3" t="str">
        <f>Sheet2!AN14</f>
        <v>not met</v>
      </c>
      <c r="L62" s="3"/>
      <c r="M62" s="3" t="str">
        <f>IF(CORREL($I6:$I42,$M6:$M42)&gt;0.4,"settled","not")</f>
        <v>not</v>
      </c>
      <c r="N62" s="3" t="str">
        <f>Sheet2!BT23</f>
        <v>over</v>
      </c>
      <c r="O62" s="15" t="str">
        <f>Sheet2!BM14</f>
        <v>not met</v>
      </c>
      <c r="P62" s="92" t="str">
        <f>IF(P98&lt;60,"",IF(AND(OR(A2="yes",A2="wow"),OR(B2="yes",B2="wow")),"NO",IF(OR(OR(A2="yes",A2="wow"),OR(B2="yes",B2="wow")),"+1",P54)))</f>
        <v/>
      </c>
      <c r="Q62" s="15" t="str">
        <f>IF(CORREL($I6:$I42,$M6:$M42)&gt;0.4,"settled","not")</f>
        <v>not</v>
      </c>
      <c r="R62" s="3" t="str">
        <f>Sheet2!CS23</f>
        <v>under</v>
      </c>
      <c r="S62" s="3" t="str">
        <f>Sheet2!CL14</f>
        <v>not met</v>
      </c>
      <c r="T62" s="3"/>
      <c r="U62" s="3" t="str">
        <f>IF(CORREL($I6:$I42,$M6:$M42)&gt;0.6,"settled","not")</f>
        <v>not</v>
      </c>
      <c r="V62" s="3" t="e">
        <f>Sheet2!DR23</f>
        <v>#N/A</v>
      </c>
      <c r="W62" s="3" t="e">
        <f>Sheet2!DK14</f>
        <v>#N/A</v>
      </c>
      <c r="X62" s="3"/>
      <c r="Y62" s="3"/>
      <c r="Z62" s="3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8"/>
      <c r="AO62" s="18"/>
    </row>
    <row r="63" spans="8:8" ht="15.75" hidden="1" customHeight="1">
      <c r="A63" s="87">
        <v>2.0</v>
      </c>
      <c r="B63" s="93" t="str">
        <f>C69</f>
        <v> Sporting JAX </v>
      </c>
      <c r="C63" s="94" t="str">
        <f>B69</f>
        <v> Monterey Bay </v>
      </c>
      <c r="D63" s="7"/>
      <c r="E63" s="7">
        <f>IF(AND(G62="all met",OR(E47="align",E47="full"),F62="under"),"precised1",IF(AND(F62="under",OR(E47="align",E47="full"),OR(F63="high1",F63="waw",F63="high"),OR(G63="high",G63="high1",G63="waw1",G63="waw")),"precised2", ))</f>
        <v>0.0</v>
      </c>
      <c r="F63" s="7" t="str">
        <f>Sheet2!H39</f>
        <v>low</v>
      </c>
      <c r="G63" s="23" t="str">
        <f>Sheet2!M12</f>
        <v>off</v>
      </c>
      <c r="H63" s="95" t="str">
        <f>Q91</f>
        <v>No</v>
      </c>
      <c r="I63" s="23">
        <f>IF(AND(K62="all met",OR(I47="align",I47="full"),J62="under"),"precised1",IF(AND(J62="under",OR(I47="align",I47="full"),OR(J63="high1",J63="waw",J63="high"),OR(K63="high",K63="high1",K63="waw1",K63="waw")),"precised2", ))</f>
        <v>0.0</v>
      </c>
      <c r="J63" s="7" t="str">
        <f>Sheet2!AG39</f>
        <v>low</v>
      </c>
      <c r="K63" s="7" t="str">
        <f>Sheet2!AL12</f>
        <v>off</v>
      </c>
      <c r="L63" s="7"/>
      <c r="M63" s="7">
        <f>IF(AND(O62="all met",OR(M47="align",M47="full"),N62="under"),"precised1",IF(AND(N62="under",OR(M47="align",M47="full"),OR(N63="high1",N63="waw",N63="high"),OR(O63="high",O63="high1",O63="waw1",O63="waw")),"precised2", ))</f>
        <v>0.0</v>
      </c>
      <c r="N63" s="7" t="str">
        <f>Sheet2!BF39</f>
        <v>low</v>
      </c>
      <c r="O63" s="23" t="str">
        <f>Sheet2!BK12</f>
        <v>off</v>
      </c>
      <c r="P63" s="95" t="str">
        <f>Q93</f>
        <v>No</v>
      </c>
      <c r="Q63" s="23">
        <f>IF(AND(S62="all met",OR(Q47="align",Q47="full"),R62="under"),"precised1",IF(AND(R62="under",OR(Q47="align",Q47="full"),OR(R63="high1",R63="waw",R63="high"),OR(S63="high",S63="high1",S63="waw1",S63="waw")),"precised2", ))</f>
        <v>0.0</v>
      </c>
      <c r="R63" s="7" t="str">
        <f>Sheet2!CE39</f>
        <v>low</v>
      </c>
      <c r="S63" s="7" t="str">
        <f>Sheet2!CJ12</f>
        <v>off</v>
      </c>
      <c r="T63" s="7"/>
      <c r="U63" s="7" t="e">
        <f>IF(AND(W62="all met",OR(U47="align",U47="full"),V62="under"),"precised1",IF(AND(V62="under",OR(U47="align",U47="full"),OR(V63="high1",V63="waw",V63="high"),OR(W63="high",W63="high1",W63="waw1",W63="waw")),"precised2", ))</f>
        <v>#N/A</v>
      </c>
      <c r="V63" s="7" t="e">
        <f>Sheet2!DD39</f>
        <v>#N/A</v>
      </c>
      <c r="W63" s="7" t="e">
        <f>Sheet2!DI12</f>
        <v>#N/A</v>
      </c>
      <c r="X63" s="7"/>
      <c r="Y63" s="7"/>
      <c r="Z63" s="7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18"/>
      <c r="AO63" s="18"/>
    </row>
    <row r="64" spans="8:8" ht="15.75" customHeight="1">
      <c r="A64" s="96" t="str">
        <f>IF(OR(T88="not",U88="not",P88="both",P89="both"),"",W81)</f>
        <v>success</v>
      </c>
      <c r="B64" s="97" t="str">
        <f>_xlfn.TEXTJOIN(".  ", ,"Home",B104,(ROUND(Sheet2!R2,2))*100)</f>
        <v>Home.  C.  7</v>
      </c>
      <c r="C64" s="98" t="str">
        <f>_xlfn.TEXTJOIN("• ", ,"Away",L105)</f>
        <v>Away• H. 1.78142142</v>
      </c>
      <c r="D64" s="3" t="str">
        <f>Sheet2!N73</f>
        <v>both</v>
      </c>
      <c r="E64" s="99" t="str">
        <f>Sheet2!J20</f>
        <v>yes</v>
      </c>
      <c r="F64" s="100" t="str">
        <f>Sheet2!J26</f>
        <v>draw, doubled</v>
      </c>
      <c r="G64" s="101"/>
      <c r="H64" s="102" t="str">
        <f>IF(CORREL($J6:$J42,$N6:$N42)&lt;0.4,"less","High")</f>
        <v>less</v>
      </c>
      <c r="I64" s="99" t="str">
        <f>Sheet2!AI20</f>
        <v>no</v>
      </c>
      <c r="J64" s="103" t="str">
        <f>Sheet2!AI26</f>
        <v>draw, doubled</v>
      </c>
      <c r="K64" s="101"/>
      <c r="L64" s="3"/>
      <c r="M64" s="99" t="str">
        <f>Sheet2!BH20</f>
        <v>no</v>
      </c>
      <c r="N64" s="100" t="str">
        <f>Sheet2!BH26</f>
        <v>draw, doubled</v>
      </c>
      <c r="O64" s="101"/>
      <c r="P64" s="102" t="str">
        <f>IF(CORREL($J6:$J42,$N6:$N42)&lt;0.4,"less","High")</f>
        <v>less</v>
      </c>
      <c r="Q64" s="99" t="str">
        <f>Sheet2!CG20</f>
        <v>yes</v>
      </c>
      <c r="R64" s="100" t="str">
        <f>Sheet2!CG26</f>
        <v>draw, doubled</v>
      </c>
      <c r="S64" s="101"/>
      <c r="T64" s="101"/>
      <c r="U64" s="99" t="e">
        <f>Sheet2!DF20</f>
        <v>#N/A</v>
      </c>
      <c r="V64" s="100" t="e">
        <f>Sheet2!DF26</f>
        <v>#N/A</v>
      </c>
      <c r="W64" s="101"/>
      <c r="X64" s="3"/>
      <c r="Y64" s="3"/>
      <c r="Z64" s="3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8"/>
      <c r="AO64" s="18"/>
    </row>
    <row r="65" spans="8:8" ht="66.75" hidden="1" customHeight="1">
      <c r="A65" s="7"/>
      <c r="B65" s="7"/>
      <c r="C65" s="7"/>
      <c r="D65" s="7"/>
      <c r="E65" s="7" t="str">
        <f>IF(ABS(Sheet2!J5-Sheet2!J43)&gt;2,"greater",IF(ABS(Sheet2!J5-Sheet2!J43)&gt;1,"great","less"))</f>
        <v>less</v>
      </c>
      <c r="F65" s="7" t="str">
        <f>IF(Sheet2!J5+Sheet2!J43&gt;16,"less goal",IF(Sheet2!J5+Sheet2!J43&gt;14,"L.goal","H.goal"))</f>
        <v>L.goal</v>
      </c>
      <c r="G65" s="7" t="str">
        <f>IF(ISNA(VLOOKUP(F48,Sheet2!K17,1)),"",VLOOKUP(F48,Sheet2!K17,1))</f>
        <v>out</v>
      </c>
      <c r="H65" s="7"/>
      <c r="I65" s="7" t="str">
        <f>IF(ABS(Sheet2!AI5-Sheet2!AI43)&gt;2,"greater",IF(ABS(Sheet2!AI5-Sheet2!AI43)&gt;1,"great","less"))</f>
        <v>less</v>
      </c>
      <c r="J65" s="7" t="str">
        <f>IF(Sheet2!AI5+Sheet2!AI43&gt;16,"less goal",IF(Sheet2!AI5+Sheet2!AI43&gt;14,"L.goal","H.goal"))</f>
        <v>L.goal</v>
      </c>
      <c r="K65" s="7" t="str">
        <f>Sheet2!AJ17</f>
        <v>out</v>
      </c>
      <c r="L65" s="7"/>
      <c r="M65" s="7" t="str">
        <f>IF(ABS(Sheet2!BH5-Sheet2!BH43)&gt;2,"greater",IF(ABS(Sheet2!BH5-Sheet2!BH43)&gt;1,"great","less"))</f>
        <v>less</v>
      </c>
      <c r="N65" s="7" t="str">
        <f>IF(Sheet2!BH5+Sheet2!BH43&gt;16,"less goal",IF(Sheet2!BH5+Sheet2!BH43&gt;14,"L.goal","H.goal"))</f>
        <v>L.goal</v>
      </c>
      <c r="O65" s="7" t="str">
        <f>Sheet2!BI17</f>
        <v>out</v>
      </c>
      <c r="P65" s="7"/>
      <c r="Q65" s="7" t="str">
        <f>IF(ABS(Sheet2!CG5-Sheet2!CG43)&gt;2,"greater",IF(ABS(Sheet2!CG5-Sheet2!CG43)&gt;1,"great","less"))</f>
        <v>less</v>
      </c>
      <c r="R65" s="7" t="str">
        <f>IF(Sheet2!CG5+Sheet2!CG43&gt;16,"less goal",IF(Sheet2!CG5+Sheet2!CG43&gt;14,"L.goal","H.goal"))</f>
        <v>L.goal</v>
      </c>
      <c r="S65" s="7" t="str">
        <f>Sheet2!CH17</f>
        <v>out</v>
      </c>
      <c r="T65" s="7"/>
      <c r="U65" s="7" t="e">
        <f>IF(ABS(Sheet2!DF5-Sheet2!DF43)&gt;2,"greater",IF(ABS(Sheet2!DF5-Sheet2!DF43)&gt;1,"great","less"))</f>
        <v>#N/A</v>
      </c>
      <c r="V65" s="7" t="e">
        <f>IF(Sheet2!DF5+Sheet2!DF43&gt;16,"less goal",IF(Sheet2!DF5+Sheet2!DF43&gt;14,"L.goal","H.goal"))</f>
        <v>#N/A</v>
      </c>
      <c r="W65" s="7" t="str">
        <f>Sheet2!DG17</f>
        <v>out</v>
      </c>
      <c r="X65" s="7"/>
      <c r="Y65" s="7"/>
      <c r="Z65" s="7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18"/>
      <c r="AO65" s="18"/>
    </row>
    <row r="66" spans="8:8" ht="31.5" hidden="1" customHeight="1">
      <c r="A66" s="3"/>
      <c r="B66" s="3"/>
      <c r="C66" s="3"/>
      <c r="D66" s="3"/>
      <c r="E66" s="3" t="str">
        <f t="shared" si="15" ref="E66:E67">IF(F66=MAX(G66,F66),"home","away")</f>
        <v>home</v>
      </c>
      <c r="F66" s="31">
        <f>VLOOKUP(F48,$C6:$O42,7)</f>
        <v>1.17</v>
      </c>
      <c r="G66" s="31">
        <f>VLOOKUP(G48,$C6:$O42,11)</f>
        <v>0.67</v>
      </c>
      <c r="H66" s="3"/>
      <c r="I66" s="3" t="str">
        <f t="shared" si="16" ref="I66:I67">IF(J66=MAX(K66,J66),"home","away")</f>
        <v>home</v>
      </c>
      <c r="J66" s="31">
        <f>VLOOKUP(J48,$C6:$O42,7)</f>
        <v>1.6</v>
      </c>
      <c r="K66" s="31">
        <f>VLOOKUP(K48,$C6:$O42,11)</f>
        <v>0.8</v>
      </c>
      <c r="L66" s="3"/>
      <c r="M66" s="3" t="str">
        <f t="shared" si="17" ref="M66:M67">IF(N66=MAX(O66,N66),"home","away")</f>
        <v>home</v>
      </c>
      <c r="N66" s="31">
        <f>VLOOKUP(N48,$C6:$O42,7)</f>
        <v>1.6</v>
      </c>
      <c r="O66" s="31">
        <f>VLOOKUP(O48,$C6:$O42,11)</f>
        <v>0.8</v>
      </c>
      <c r="P66" s="3"/>
      <c r="Q66" s="3" t="str">
        <f t="shared" si="18" ref="Q66:Q67">IF(R66=MAX(S66,R66),"home","away")</f>
        <v>home</v>
      </c>
      <c r="R66" s="31">
        <f>VLOOKUP(R48,$C6:$O42,7)</f>
        <v>1.17</v>
      </c>
      <c r="S66" s="31">
        <f>VLOOKUP(S48,$C6:$O42,11)</f>
        <v>0.67</v>
      </c>
      <c r="T66" s="3"/>
      <c r="U66" s="3" t="str">
        <f t="shared" si="19" ref="U66:U67">IF(V66=MAX(W66,V66),"home","away")</f>
        <v>home</v>
      </c>
      <c r="V66" s="31">
        <f>VLOOKUP(V48,$C6:$O42,7)</f>
        <v>2.4</v>
      </c>
      <c r="W66" s="31">
        <f>VLOOKUP(W48,$C6:$O42,11)</f>
        <v>1.17</v>
      </c>
      <c r="X66" s="3"/>
      <c r="Y66" s="3"/>
      <c r="Z66" s="3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8"/>
      <c r="AO66" s="18"/>
    </row>
    <row r="67" spans="8:8" ht="32.25" hidden="1" customHeight="1">
      <c r="A67" s="7"/>
      <c r="B67" s="7"/>
      <c r="C67" s="7"/>
      <c r="D67" s="7"/>
      <c r="E67" s="7" t="str">
        <f t="shared" si="15"/>
        <v>home</v>
      </c>
      <c r="F67" s="7">
        <f>F66*VLOOKUP(G48,$C6:$O42,12)</f>
        <v>2.34</v>
      </c>
      <c r="G67" s="7">
        <f>G66*VLOOKUP(F48,$C6:$O42,8)</f>
        <v>0.7839</v>
      </c>
      <c r="H67" s="7"/>
      <c r="I67" s="7" t="str">
        <f t="shared" si="16"/>
        <v>home</v>
      </c>
      <c r="J67" s="7">
        <f>J66*VLOOKUP(K48,$C6:$O42,12)</f>
        <v>3.84</v>
      </c>
      <c r="K67" s="7">
        <f>K66*VLOOKUP(J48,$C6:$O42,8)</f>
        <v>2.2399999999999998</v>
      </c>
      <c r="L67" s="7"/>
      <c r="M67" s="7" t="str">
        <f t="shared" si="17"/>
        <v>home</v>
      </c>
      <c r="N67" s="7">
        <f>N66*VLOOKUP(O48,$C6:$O42,12)</f>
        <v>3.84</v>
      </c>
      <c r="O67" s="7">
        <f>O66*VLOOKUP(N48,$C6:$O42,8)</f>
        <v>2.2399999999999998</v>
      </c>
      <c r="P67" s="7"/>
      <c r="Q67" s="7" t="str">
        <f t="shared" si="18"/>
        <v>home</v>
      </c>
      <c r="R67" s="7">
        <f>R66*VLOOKUP(S48,$C6:$O42,12)</f>
        <v>2.34</v>
      </c>
      <c r="S67" s="7">
        <f>S66*VLOOKUP(R48,$C6:$O42,8)</f>
        <v>0.7839</v>
      </c>
      <c r="T67" s="7"/>
      <c r="U67" s="7" t="str">
        <f t="shared" si="19"/>
        <v>home</v>
      </c>
      <c r="V67" s="7">
        <f>V66*VLOOKUP(W48,$C6:$O42,12)</f>
        <v>0.792</v>
      </c>
      <c r="W67" s="7">
        <f>W66*VLOOKUP(V48,$C6:$O42,8)</f>
        <v>0.702</v>
      </c>
      <c r="X67" s="7"/>
      <c r="Y67" s="7"/>
      <c r="Z67" s="7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18"/>
      <c r="AO67" s="18"/>
    </row>
    <row r="68" spans="8:8" ht="16.5" hidden="1" customHeight="1">
      <c r="A68" s="3"/>
      <c r="B68" s="3"/>
      <c r="C68" s="3"/>
      <c r="D68" s="3"/>
      <c r="E68" s="3" t="str">
        <f>IF(AND(E66="home",E67="home"),"1x",IF(AND(E66="away",E67="away"),"x2",IF(AND(E66="home",E67="away"),E67,IF(AND(E66="away",E67="home"),E67,0))))</f>
        <v>1x</v>
      </c>
      <c r="F68" s="3">
        <f>AVERAGE(F67,G67)</f>
        <v>1.56195</v>
      </c>
      <c r="G68" s="3" t="str">
        <f>IF(F68&lt;0.65,"u1.5",IF(F68&lt;1,"u2.5",IF(F68&lt;1.3,"over3",IF(AND(F67&gt;F66,OR(G67&lt;G66,G67=G66)),"under1",IF(AND(G67&gt;G66,OR(F67&lt;F66,F67=F66)),"under2","over")))))</f>
        <v>over</v>
      </c>
      <c r="H68" s="3"/>
      <c r="I68" s="3" t="str">
        <f>IF(AND(I66="home",I67="home"),"1x",IF(AND(I66="away",I67="away"),"x2",IF(AND(I66="home",I67="away"),I67,IF(AND(I66="away",I67="home"),I67,0))))</f>
        <v>1x</v>
      </c>
      <c r="J68" s="3">
        <f>AVERAGE(J67,K67)</f>
        <v>3.04</v>
      </c>
      <c r="K68" s="3" t="str">
        <f>IF(J68&lt;0.65,"u1.5",IF(J68&lt;1,"u2.5",IF(J68&lt;1.3,"over3",IF(AND(J67&gt;J66,OR(K67&lt;K66,K67=K66)),"under1",IF(AND(K67&gt;K66,OR(J67&lt;J66,J67=J66)),"under2","over")))))</f>
        <v>over</v>
      </c>
      <c r="L68" s="3"/>
      <c r="M68" s="3" t="str">
        <f>IF(AND(M66="home",M67="home"),"1x",IF(AND(M66="away",M67="away"),"x2",IF(AND(M66="home",M67="away"),M67,IF(AND(M66="away",M67="home"),M67,0))))</f>
        <v>1x</v>
      </c>
      <c r="N68" s="3">
        <f>AVERAGE(N67,O67)</f>
        <v>3.04</v>
      </c>
      <c r="O68" s="3" t="str">
        <f>IF(N68&lt;0.65,"u1.5",IF(N68&lt;1,"u2.5",IF(N68&lt;1.3,"over3",IF(AND(N67&gt;N66,OR(O67&lt;O66,O67=O66)),"under1",IF(AND(O67&gt;O66,OR(N67&lt;N66,N67=N66)),"under2","over")))))</f>
        <v>over</v>
      </c>
      <c r="P68" s="3"/>
      <c r="Q68" s="3" t="str">
        <f>IF(AND(Q66="home",Q67="home"),"1x",IF(AND(Q66="away",Q67="away"),"x2",IF(AND(Q66="home",Q67="away"),Q67,IF(AND(Q66="away",Q67="home"),Q67,0))))</f>
        <v>1x</v>
      </c>
      <c r="R68" s="3">
        <f>AVERAGE(R67,S67)</f>
        <v>1.56195</v>
      </c>
      <c r="S68" s="3" t="str">
        <f>IF(R68&lt;0.65,"u1.5",IF(R68&lt;1,"u2.5",IF(R68&lt;1.3,"over3",IF(AND(R67&gt;R66,OR(S67&lt;S66,S67=S66)),"under1",IF(AND(S67&gt;S66,OR(R67&lt;R66,R67=R66)),"under2","over")))))</f>
        <v>over</v>
      </c>
      <c r="T68" s="3"/>
      <c r="U68" s="3" t="str">
        <f>IF(AND(U66="home",U67="home"),"1x",IF(AND(U66="away",U67="away"),"x2",IF(AND(U66="home",U67="away"),U67,IF(AND(U66="away",U67="home"),U67,0))))</f>
        <v>1x</v>
      </c>
      <c r="V68" s="3">
        <f>AVERAGE(V67,W67)</f>
        <v>0.747</v>
      </c>
      <c r="W68" s="3" t="str">
        <f>IF(V68&lt;0.65,"u1.5",IF(V68&lt;1,"u2.5",IF(V68&lt;1.3,"over3",IF(AND(V67&gt;V66,OR(W67&lt;W66,W67=W66)),"under1",IF(AND(W67&gt;W66,OR(V67&lt;V66,V67=V66)),"under2","over")))))</f>
        <v>u2.5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8:8" ht="30.0" customHeight="1">
      <c r="A69" s="104" t="str">
        <f>IF(AND(Sheet2!AB18="yes",OR(Sheet2!AA15="both",Sheet2!AA15="Yes1",Sheet2!AA15="yes"),OR(N84="under1",N85="under2",V95="under1",V96="under2")),"success","unsccessfu")</f>
        <v>unsccessfu</v>
      </c>
      <c r="B69" s="105" t="s">
        <v>2671</v>
      </c>
      <c r="C69" s="106" t="s">
        <v>2680</v>
      </c>
      <c r="D69" s="107" t="str">
        <f>_xlfn.TEXTJOIN("/ ", ,L110,Sheet2!L77)</f>
        <v> Monterey Bay / handicap</v>
      </c>
      <c r="E69" s="7" t="str">
        <f>IF(E66=E67,"","swiped")</f>
        <v/>
      </c>
      <c r="F69" s="7" t="str">
        <f>IF(ABS(F67-G67)&gt;1,"high",IF(ABS(F67-G67)&gt;0.6,"medium","low G"))</f>
        <v>high</v>
      </c>
      <c r="G69" s="7" t="str">
        <f>_xlfn.TEXTJOIN(", ", ,Sheet2!D30,Sheet2!D32)</f>
        <v>all equal</v>
      </c>
      <c r="H69" s="7">
        <f>CORREL(I6:I42,M6:M42)</f>
        <v>-0.23912308288507744</v>
      </c>
      <c r="I69" s="7" t="str">
        <f>IF(I66=I67,"","swiped")</f>
        <v/>
      </c>
      <c r="J69" s="7" t="str">
        <f>IF(ABS(J67-K67)&gt;1,"high",IF(ABS(J67-K67)&gt;0.6,"medium","low G"))</f>
        <v>high</v>
      </c>
      <c r="K69" s="7" t="str">
        <f>_xlfn.TEXTJOIN(", ", ,Sheet2!AC30,Sheet2!AC32)</f>
        <v>all equal</v>
      </c>
      <c r="L69" s="7"/>
      <c r="M69" s="7" t="str">
        <f>IF(M66=M67,"","swiped")</f>
        <v/>
      </c>
      <c r="N69" s="7" t="str">
        <f>IF(ABS(N67-O67)&gt;1,"high",IF(ABS(N67-O67)&gt;0.6,"medium","low G"))</f>
        <v>high</v>
      </c>
      <c r="O69" s="7" t="str">
        <f>_xlfn.TEXTJOIN(", ", ,Sheet2!BB30,Sheet2!BB32)</f>
        <v>all equal</v>
      </c>
      <c r="P69" s="7"/>
      <c r="Q69" s="7" t="str">
        <f>IF(Q66=Q67,"","swiped")</f>
        <v/>
      </c>
      <c r="R69" s="7" t="str">
        <f>IF(ABS(R67-S67)&gt;1,"high",IF(ABS(R67-S67)&gt;0.6,"medium","low G"))</f>
        <v>high</v>
      </c>
      <c r="S69" s="7" t="str">
        <f>_xlfn.TEXTJOIN(", ", ,Sheet2!CA30,Sheet2!CA32)</f>
        <v>all equal</v>
      </c>
      <c r="T69" s="7"/>
      <c r="U69" s="7" t="str">
        <f>IF(U66=U67,"","swiped")</f>
        <v/>
      </c>
      <c r="V69" s="7" t="str">
        <f>IF(ABS(V67-W67)&gt;1,"high",IF(ABS(V67-W67)&gt;0.6,"medium","low G"))</f>
        <v>low G</v>
      </c>
      <c r="W69" s="108" t="e">
        <f>_xlfn.TEXTJOIN(", ", ,Sheet2!CZ30,Sheet2!CZ32)</f>
        <v>#DIV/0!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8:8" ht="46.5" customHeight="1">
      <c r="A70" s="109" t="str">
        <f>_xlfn.TEXTJOIN(" / ", ,H54,IF(AND(A64="success",A69="success",B54=""),"GOOD","CHECK"))</f>
        <v>run / CHECK</v>
      </c>
      <c r="B70" s="3" t="str">
        <f>IF(W83&lt;&gt;W84,"",IF(OR(O89="hold1",O90="hold2"),"",_xlfn.TEXTJOIN("/ ", ,Sheet2!AA15,Sheet2!AA16,Sheet2!AA18,X83,Sheet2!AB18)))</f>
        <v>Yes1/ not upto/ 4/ 4/ no</v>
      </c>
      <c r="C70" s="3" t="str">
        <f>_xlfn.TEXTJOIN("/ ", ,Sheet2!N72,Sheet2!AM72,Sheet2!K74)</f>
        <v> Monterey Bay /  Monterey Bay / 38.2313430441679</v>
      </c>
      <c r="D70" s="110" t="str">
        <f>M109</f>
        <v> Monterey Bay  / low</v>
      </c>
      <c r="E70" s="3" t="str">
        <f>Sheet2!C33</f>
        <v>no, yes</v>
      </c>
      <c r="F70" s="3" t="str">
        <f>IF(AND(D47="well",OR(E47="align",E47="full"),L75="",Sheet2!C34=1,OR(F69="medium",F69="high"),Sheet2!C28="high"),"double",IF(AND(D47="well",OR(E47="align",E47="full"),L75="",OR(Sheet2!C34=1,Sheet2!C34=2),OR(F69="high",F69="medium"),OR(Sheet2!C28="high",Sheet2!C28="low")),"handicap","hands off"))</f>
        <v>hands off</v>
      </c>
      <c r="G70" s="3" t="str">
        <f>IF(AND(Sheet2!C33="no, no",F69="low G",F62="under",OR(Sheet2!C28="high",Sheet2!C28="low")),"under E48",IF(AND(OR(Sheet2!C33="yes, yes",Sheet2!C33="yes, no"),OR(F69="high",F69="high"),OR(G68="over3",G68="over"),OR(Sheet2!C28="high",Sheet2!C28="low",Sheet2!C28="medium", ),F62="over"),"over E48","over1.5"))</f>
        <v>over1.5</v>
      </c>
      <c r="H70" s="3" t="str">
        <f>_xlfn.TEXTJOIN("/", ,T95,U95,R99)</f>
        <v>37.5/invalid/out</v>
      </c>
      <c r="I70" s="3" t="str">
        <f>Sheet2!AC16</f>
        <v>yes, no</v>
      </c>
      <c r="J70" s="3" t="str">
        <f>IF(AND(D48="well",OR(I47="align",I47="full"),L76="",Sheet2!AC15=1,OR(J69="medium",J69="high"),Sheet2!AB28="high"),"double",IF(AND(D48="well",OR(I47="align",I47="full"),L76="",OR(Sheet2!AC15=1,Sheet2!AC15=2),OR(J69="high",J69="medium"),OR(Sheet2!AB28="high",Sheet2!AB28="low")),"handicap","hands off"))</f>
        <v>hands off</v>
      </c>
      <c r="K70" s="3" t="str">
        <f>IF(AND(Sheet2!AC15=1,J69="low G",J62="under",OR(Sheet2!AB28="high",Sheet2!AB28="low")),I48,IF(AND(Sheet2!AC15=3,OR(J69="high",J69="high"),OR(K68="over3",K68="over"),OR(Sheet2!AB28="high",Sheet2!AB28="low",Sheet2!AB28="medium", ),J62="over"),I48,"over1.5"))</f>
        <v>4goals</v>
      </c>
      <c r="L70" s="3"/>
      <c r="M70" s="3" t="str">
        <f>Sheet2!BB16</f>
        <v>yes, no</v>
      </c>
      <c r="N70" s="3" t="str">
        <f>IF(AND(D54="well",OR(M47="align",M47="full"),L77="",Sheet2!BB15=1,OR(N69="medium",N69="high"),Sheet2!BA28="high"),"double",IF(AND(D54="well",OR(M47="align",M47="full"),L77="",OR(Sheet2!BB15=1,Sheet2!BB15=2),OR(N69="high",N69="medium"),OR(Sheet2!BA28="high",Sheet2!BA28="low")),"handicap","hands off"))</f>
        <v>hands off</v>
      </c>
      <c r="O70" s="3" t="str">
        <f>IF(AND(Sheet2!BB15=1,N69="low G",N62="under",OR(Sheet2!BA28="high",Sheet2!BA28="low")),M48,IF(AND(Sheet2!BB15=3,OR(N69="high",N69="high"),OR(O68="over3",O68="over"),OR(Sheet2!BA28="high",Sheet2!BA28="low",Sheet2!BA28="medium", ),N62="over"),M48,"over1.5"))</f>
        <v>4goals</v>
      </c>
      <c r="P70" s="3" t="str">
        <f>_xlfn.TEXTJOIN("/", ,T96,U96,R100)</f>
        <v>37.5/invalid/out</v>
      </c>
      <c r="Q70" s="3" t="str">
        <f>Sheet2!CA16</f>
        <v>no, yes</v>
      </c>
      <c r="R70" s="3" t="str">
        <f>IF(AND(D61="well",OR(Q47="align",Q47="full"),L78="",Sheet2!CA15=1,OR(R69="medium",R69="high"),Sheet2!BZ28="high"),"double",IF(AND(OR(D61="well",OR(Q47="align",Q47="full"),L78="",Sheet2!CA15=1,Sheet2!CA15=2),OR(R69="high",R69="medium"),OR(Sheet2!BZ28,Sheet2!BZ28="high",Sheet2!BZ28="low")),"handicap","hands off"))</f>
        <v>hands off</v>
      </c>
      <c r="S70" s="3" t="str">
        <f>IF(AND(Sheet2!CA15=1,R69="low G",R62="under",OR(Sheet2!BZ28="high",Sheet2!BZ28="low")),Q48,IF(AND(Sheet2!CA15=3,OR(R69="high",R69="high"),OR(S68="over3",S68="over"),OR(Sheet2!BZ28="high",Sheet2!BZ28="low",Sheet2!BZ28="medium", ),R62="over"),Q48,"over1.5"))</f>
        <v>over1.5</v>
      </c>
      <c r="T70" s="3"/>
      <c r="U70" s="3" t="str">
        <f>Sheet2!CZ16</f>
        <v>yes, yes</v>
      </c>
      <c r="V70" s="3" t="str">
        <f>IF(AND(D62="well",OR(U47="align",U47="full"),L79="",Sheet2!CZ15=1,OR(V69="medium",V69="high"),Sheet2!CY28="high"),"double",IF(AND(D62="well",OR(U47="align",U47="full"),L79="",OR(Sheet2!CZ15=1,Sheet2!CZ15=2),OR(V69="high",V69="medium"),OR(Sheet2!CY28,Sheet2!CY28="high",Sheet2!CY28="low")),"handicap","hands off"))</f>
        <v>hands off</v>
      </c>
      <c r="W70" s="3" t="e">
        <f>IF(AND(Sheet2!CZ15=1,V69="low G",V62="under",OR(Sheet2!CY28="high",Sheet2!CY28="low")),U48,IF(AND(Sheet2!CZ15=3,OR(V69="high",V69="high"),OR(W68="over3",W68="over"),OR(Sheet2!CY28="high",Sheet2!CY28="low",Sheet2!CY28="medium", ),V62="over"),U48,"over1.5"))</f>
        <v>#N/A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8:8" ht="64.5" hidden="1" customHeight="1">
      <c r="A71" s="7"/>
      <c r="B71" s="7"/>
      <c r="C71" s="7"/>
      <c r="D71" s="7"/>
      <c r="E71" s="7" t="b">
        <f>IF(AND(Sheet2!D30="all equal",Sheet2!C28="low",OR(G68="under2",G68="under1",G68="u1.5",G68="u2.5")),"u2.5")</f>
        <v>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8:8" ht="47.2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8:8" ht="39.75" hidden="1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8:8" ht="36.0" customHeight="1">
      <c r="A74" s="3">
        <f>ROUND(AVERAGE(P97,P98),0)</f>
        <v>50.0</v>
      </c>
      <c r="B74" s="111" t="str">
        <f>_xlfn.TEXTJOIN(" /", ,IF(A106="Ex",A106,""),IF(AND(B105&gt;60,B70&lt;&gt;"",A74&gt;70),B106,""))</f>
        <v>Ex</v>
      </c>
      <c r="C74" s="112" t="str">
        <f>IF(Sheet2!L77="double","check",IF(OR(E114="no",Sheet2!Y25="D'over"),"no",_xlfn.TEXTJOIN("/ ", ,M110,M108)))</f>
        <v>set1/ set</v>
      </c>
      <c r="D74" s="65" t="str">
        <f>_xlfn.TEXTJOIN("/ ", ,IF(Sheet2!R23="best Tab 2",Sheet2!Q13,Sheet2!Q13),Sheet2!R23)</f>
        <v>don’t choose/ Best Tab 1</v>
      </c>
      <c r="E74" s="65" t="str">
        <f>IF(A64="","",IF(B5="","",IF(AND(A54="",OR(Sheet2!O3="good",Sheet2!O3="wow")),C115,IF(Sheet2!O3="wow",C115,IF(Sheet2!O3="bad","",C114)))))</f>
        <v/>
      </c>
      <c r="F74" s="65" t="s">
        <v>68</v>
      </c>
      <c r="G74" s="65" t="s">
        <v>69</v>
      </c>
      <c r="H74" s="65" t="s">
        <v>70</v>
      </c>
      <c r="I74" s="65" t="s">
        <v>71</v>
      </c>
      <c r="J74" s="65" t="s">
        <v>72</v>
      </c>
      <c r="K74" s="65" t="s">
        <v>73</v>
      </c>
      <c r="L74" s="65" t="s">
        <v>74</v>
      </c>
      <c r="M74" s="3" t="s">
        <v>75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8:8" ht="20.25" hidden="1" customHeight="1">
      <c r="A75" s="7" t="str">
        <f t="shared" si="20" ref="A75:A78">R75</f>
        <v>over1.5, wait</v>
      </c>
      <c r="B75" s="7" t="str">
        <f>_xlfn.TEXTJOIN("/", ,1,H91,W75)</f>
        <v>1/not set/1, edge</v>
      </c>
      <c r="C75" s="7" t="str">
        <f>_xlfn.TEXTJOIN(" vs ", ,F48,G48)</f>
        <v> Monterey Bay  vs  Sporting JAX </v>
      </c>
      <c r="D75" s="7" t="str">
        <f>_xlfn.TEXTJOIN(", ", ,$E$48,E47,G91,B102)</f>
        <v>4goals, align, 100, over</v>
      </c>
      <c r="E75" s="7" t="str">
        <f>E70</f>
        <v>no, yes</v>
      </c>
      <c r="F75" s="7" t="str">
        <f>F69</f>
        <v>high</v>
      </c>
      <c r="G75" s="7" t="str">
        <f>F62</f>
        <v>under</v>
      </c>
      <c r="H75" s="7" t="str">
        <f>G68</f>
        <v>over</v>
      </c>
      <c r="I75" s="7" t="str">
        <f>Sheet2!C28</f>
        <v>medium</v>
      </c>
      <c r="J75" s="7" t="str">
        <f>F70</f>
        <v>hands off</v>
      </c>
      <c r="K75" s="113" t="str">
        <f>IF(AND(L75="",D47="well",OR(E47="align",E47="full"),E75="no, no",OR(F75="low G",F75="medium"),G75="under",OR(H75="u1.5",H75="u2.5",H75="under1",H75="under2"),I75="low"),"under G",IF(AND(L75="",D47="well",OR(E47="align",E47="full"),E75="no, no",OR(F75="low G",F75="medium"),G75="under",OR(H75="u1.5",H75="u2.5",H75="under1",H75="under2",H75="over3"),OR(I75="low",I75="high")),"under G+1","over1.5"))</f>
        <v>over1.5</v>
      </c>
      <c r="L75" s="7" t="str">
        <f>E69</f>
        <v/>
      </c>
      <c r="M75" s="114">
        <f t="shared" si="21" ref="M75:M79">K81/L81</f>
        <v>0.5</v>
      </c>
      <c r="N75" s="114">
        <f t="shared" si="22" ref="N75:N79">I86/J86</f>
        <v>0.6</v>
      </c>
      <c r="O75" s="114">
        <f t="shared" si="23" ref="O75:O79">AVERAGE(M75,N75)</f>
        <v>0.55</v>
      </c>
      <c r="P75" s="114">
        <f t="shared" si="24" ref="P75:P79">ABS(M75-N75)</f>
        <v>0.09999999999999998</v>
      </c>
      <c r="Q75" s="114">
        <f t="shared" si="25" ref="Q75:Q79">AVERAGE(O75,P75)</f>
        <v>0.325</v>
      </c>
      <c r="R75" s="7" t="str">
        <f t="shared" si="26" ref="R75:R79">_xlfn.TEXTJOIN(", ", ,K75,IF(AND(N75&gt;M75,Q75&gt;55%),"winover",IF(AND(M75&gt;N75,Q75&lt;48%),"under1.5",IF(AND(M75&gt;N75,Q75&gt;50%),"under","wait"))))</f>
        <v>over1.5, wait</v>
      </c>
      <c r="S75" s="114">
        <f t="shared" si="27" ref="S75:S79">AVERAGE(O75,Q75)</f>
        <v>0.4375</v>
      </c>
      <c r="T75" s="114">
        <f t="shared" si="28" ref="T75:T79">AVERAGE(Q75,O75)-(O75-Q75)</f>
        <v>0.2125</v>
      </c>
      <c r="U75" s="7" t="str">
        <f t="shared" si="29" ref="U75:U79">IF(AND(V75&lt;23%,V75&gt;-2%,OR(S75&gt;T75,T75&gt;S75)),"yes1",IF(OR(T75=S75,T75&gt;S75),"Yes","No"))</f>
        <v>yes1</v>
      </c>
      <c r="V75" s="114">
        <f t="shared" si="30" ref="V75:V79">S75-T75</f>
        <v>0.225</v>
      </c>
      <c r="W75" s="7" t="str">
        <f>Sheet2!M17</f>
        <v>1, edge</v>
      </c>
      <c r="X75" s="7">
        <f t="shared" si="31" ref="X75:X78">IF(AND(G75="over",H75="over"),0,1)</f>
        <v>1.0</v>
      </c>
      <c r="Y75" s="7" t="str">
        <f t="shared" si="32" ref="Y75:Y78">IF(AND(U75="no",H91="not set"),"NO","YES")</f>
        <v>YES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8:8" ht="25.5" hidden="1" customHeight="1">
      <c r="A76" s="3" t="str">
        <f t="shared" si="20"/>
        <v>over1.5, wait</v>
      </c>
      <c r="B76" s="3" t="str">
        <f>_xlfn.TEXTJOIN("/", ,2,H92,W76)</f>
        <v>2/not set/2, edge</v>
      </c>
      <c r="C76" s="15" t="str">
        <f>_xlfn.TEXTJOIN(" vs ", ,J48,K48)</f>
        <v> Sporting JAX  vs  Monterey Bay </v>
      </c>
      <c r="D76" s="15" t="str">
        <f>_xlfn.TEXTJOIN(", ", ,$E$48,I47,G92,P99)</f>
        <v>4goals, align, 75, run</v>
      </c>
      <c r="E76" s="15" t="str">
        <f>I70</f>
        <v>yes, no</v>
      </c>
      <c r="F76" s="15" t="str">
        <f>J69</f>
        <v>high</v>
      </c>
      <c r="G76" s="15" t="str">
        <f>J62</f>
        <v>over</v>
      </c>
      <c r="H76" s="15" t="str">
        <f>K68</f>
        <v>over</v>
      </c>
      <c r="I76" s="15" t="str">
        <f>Sheet2!AB28</f>
        <v>medium</v>
      </c>
      <c r="J76" s="15" t="str">
        <f>J70</f>
        <v>hands off</v>
      </c>
      <c r="K76" s="3" t="str">
        <f>IF(AND(L76="",D48="well",OR(E47="align",E47="full"),E76="no, no",OR(F76="low G",F76="medium"),G76="under",OR(H76="u1.5",H76="u2.5",H76="under1",H76="under2"),I76="low"),"under G",IF(AND(L76="",D48="well",OR(E47="align",I47="full"),E76="no, no",OR(F76="low G",F76="medium"),G76="under",OR(H76="u1.5",H76="u2.5",H76="under1",H76="under2",H76="over3"),OR(I76="low",I76="high")),"under G+1","over1.5"))</f>
        <v>over1.5</v>
      </c>
      <c r="L76" s="15" t="str">
        <f>I69</f>
        <v/>
      </c>
      <c r="M76" s="115">
        <f t="shared" si="21"/>
        <v>0.25</v>
      </c>
      <c r="N76" s="115">
        <f t="shared" si="22"/>
        <v>0.6</v>
      </c>
      <c r="O76" s="115">
        <f t="shared" si="23"/>
        <v>0.425</v>
      </c>
      <c r="P76" s="115">
        <f t="shared" si="24"/>
        <v>0.35</v>
      </c>
      <c r="Q76" s="115">
        <f t="shared" si="25"/>
        <v>0.38749999999999996</v>
      </c>
      <c r="R76" s="3" t="str">
        <f t="shared" si="26"/>
        <v>over1.5, wait</v>
      </c>
      <c r="S76" s="115">
        <f t="shared" si="27"/>
        <v>0.40625</v>
      </c>
      <c r="T76" s="115">
        <f t="shared" si="28"/>
        <v>0.36875</v>
      </c>
      <c r="U76" s="3" t="str">
        <f t="shared" si="29"/>
        <v>yes1</v>
      </c>
      <c r="V76" s="115">
        <f t="shared" si="30"/>
        <v>0.03749999999999998</v>
      </c>
      <c r="W76" s="3" t="str">
        <f>Sheet2!AL17</f>
        <v>2, edge</v>
      </c>
      <c r="X76" s="3">
        <f t="shared" si="31"/>
        <v>0.0</v>
      </c>
      <c r="Y76" s="3" t="str">
        <f t="shared" si="32"/>
        <v>YES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8:8" ht="32.25" hidden="1" customHeight="1">
      <c r="A77" s="7" t="str">
        <f t="shared" si="20"/>
        <v>over1.5, wait</v>
      </c>
      <c r="B77" s="7" t="str">
        <f>_xlfn.TEXTJOIN("/", ,3,H93,W77)</f>
        <v>3/not set/2, edge</v>
      </c>
      <c r="C77" s="7" t="str">
        <f>_xlfn.TEXTJOIN(" vs ", ,N48,O48)</f>
        <v> Sporting JAX  vs  Monterey Bay </v>
      </c>
      <c r="D77" s="7" t="str">
        <f>_xlfn.TEXTJOIN(", ", ,$E$48,M47,G93,B103)</f>
        <v>4goals, align, 75, over</v>
      </c>
      <c r="E77" s="7" t="str">
        <f>M70</f>
        <v>yes, no</v>
      </c>
      <c r="F77" s="7" t="str">
        <f>N69</f>
        <v>high</v>
      </c>
      <c r="G77" s="7" t="str">
        <f>N62</f>
        <v>over</v>
      </c>
      <c r="H77" s="7" t="str">
        <f>O68</f>
        <v>over</v>
      </c>
      <c r="I77" s="7" t="str">
        <f>Sheet2!BA28</f>
        <v>medium</v>
      </c>
      <c r="J77" s="7" t="str">
        <f>N70</f>
        <v>hands off</v>
      </c>
      <c r="K77" s="7" t="str">
        <f>IF(AND(L77="",D54="well",OR(M47="align",M47="full"),E77="no, no",OR(F77="low G",F77="medium"),G77="under",OR(H77="u1.5",H77="u2.5",H77="under1",H77="under2"),I77="low"),"under G",IF(AND(L77="",D54="well",OR(M47="align",M47="full"),E77="no, no",OR(F77="low G",F77="medium"),G77="under",OR(H77="u1.5",H77="u2.5",H77="under1",H77="under2",H77="over3"),OR(I77="low",I77="high")),"under G+1","over1.5"))</f>
        <v>over1.5</v>
      </c>
      <c r="L77" s="7" t="str">
        <f>M69</f>
        <v/>
      </c>
      <c r="M77" s="114">
        <f t="shared" si="21"/>
        <v>0.25</v>
      </c>
      <c r="N77" s="114">
        <f t="shared" si="22"/>
        <v>0.6</v>
      </c>
      <c r="O77" s="114">
        <f t="shared" si="23"/>
        <v>0.425</v>
      </c>
      <c r="P77" s="114">
        <f t="shared" si="24"/>
        <v>0.35</v>
      </c>
      <c r="Q77" s="114">
        <f t="shared" si="25"/>
        <v>0.38749999999999996</v>
      </c>
      <c r="R77" s="7" t="str">
        <f t="shared" si="26"/>
        <v>over1.5, wait</v>
      </c>
      <c r="S77" s="114">
        <f t="shared" si="27"/>
        <v>0.40625</v>
      </c>
      <c r="T77" s="114">
        <f t="shared" si="28"/>
        <v>0.36875</v>
      </c>
      <c r="U77" s="7" t="str">
        <f t="shared" si="29"/>
        <v>yes1</v>
      </c>
      <c r="V77" s="114">
        <f t="shared" si="30"/>
        <v>0.03749999999999998</v>
      </c>
      <c r="W77" s="7" t="str">
        <f>Sheet2!BK17</f>
        <v>2, edge</v>
      </c>
      <c r="X77" s="7">
        <f t="shared" si="31"/>
        <v>0.0</v>
      </c>
      <c r="Y77" s="7" t="str">
        <f t="shared" si="32"/>
        <v>YES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8:8" ht="39.0" customHeight="1">
      <c r="A78" s="16" t="str">
        <f t="shared" si="20"/>
        <v>over1.5, wait</v>
      </c>
      <c r="B78" s="16" t="str">
        <f>_xlfn.TEXTJOIN("/", ,4,H94,W78)</f>
        <v>4/not set/1, edge</v>
      </c>
      <c r="C78" s="116" t="str">
        <f>_xlfn.TEXTJOIN(" vs ", ,R48,S48)</f>
        <v> Monterey Bay  vs  Sporting JAX </v>
      </c>
      <c r="D78" s="16" t="str">
        <f>_xlfn.TEXTJOIN(", ", ,$E$48,Q47,G94,P100)</f>
        <v>4goals, align, 100, run</v>
      </c>
      <c r="E78" s="15" t="str">
        <f>Q70</f>
        <v>no, yes</v>
      </c>
      <c r="F78" s="15" t="str">
        <f>R69</f>
        <v>high</v>
      </c>
      <c r="G78" s="15" t="str">
        <f>R62</f>
        <v>under</v>
      </c>
      <c r="H78" s="15" t="str">
        <f>S68</f>
        <v>over</v>
      </c>
      <c r="I78" s="15" t="str">
        <f>Sheet2!BZ28</f>
        <v>medium</v>
      </c>
      <c r="J78" s="15" t="str">
        <f>R70</f>
        <v>hands off</v>
      </c>
      <c r="K78" s="3" t="str">
        <f>IF(AND(L78="",D61="well",OR(Q47="align",Q47="full"),E78="no, no",OR(F78="low G",F78="medium"),G78="under",OR(H78="u1.5",H78="u2.5",H78="under1",H78="under2"),I78="low"),"under G",IF(AND(L78="",D61="well",OR(Q47="align",Q47="full"),E78="no, no",OR(F78="low G",F78="medium"),G78="under",OR(H78="u1.5",H78="u2.5",H78="under1",H78="under2",H78="over3"),OR(I78="low",I78="high")),"under G+1","over1.5"))</f>
        <v>over1.5</v>
      </c>
      <c r="L78" s="15" t="str">
        <f>Q69</f>
        <v/>
      </c>
      <c r="M78" s="115">
        <f t="shared" si="21"/>
        <v>0.5</v>
      </c>
      <c r="N78" s="115">
        <f t="shared" si="22"/>
        <v>0.6</v>
      </c>
      <c r="O78" s="115">
        <f t="shared" si="23"/>
        <v>0.55</v>
      </c>
      <c r="P78" s="115">
        <f t="shared" si="24"/>
        <v>0.09999999999999998</v>
      </c>
      <c r="Q78" s="115">
        <f t="shared" si="25"/>
        <v>0.325</v>
      </c>
      <c r="R78" s="3" t="str">
        <f t="shared" si="26"/>
        <v>over1.5, wait</v>
      </c>
      <c r="S78" s="115">
        <f t="shared" si="27"/>
        <v>0.4375</v>
      </c>
      <c r="T78" s="115">
        <f t="shared" si="28"/>
        <v>0.2125</v>
      </c>
      <c r="U78" s="3" t="str">
        <f t="shared" si="29"/>
        <v>yes1</v>
      </c>
      <c r="V78" s="115">
        <f t="shared" si="30"/>
        <v>0.225</v>
      </c>
      <c r="W78" s="3" t="str">
        <f>Sheet2!CJ17</f>
        <v>1, edge</v>
      </c>
      <c r="X78" s="3">
        <f t="shared" si="31"/>
        <v>1.0</v>
      </c>
      <c r="Y78" s="3" t="str">
        <f t="shared" si="32"/>
        <v>YES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8:8" ht="15.75" customHeight="1">
      <c r="A79" s="117" t="str">
        <f>_xlfn.TEXTJOIN(" /", ,_xlfn.IFERROR(F114,""),_xlfn.IFERROR(R79,""))</f>
        <v>nope</v>
      </c>
      <c r="B79" s="4" t="str">
        <f>B85</f>
        <v>under</v>
      </c>
      <c r="C79" s="4" t="str">
        <f>_xlfn.TEXTJOIN(" vs ", , ,V48,W48)</f>
        <v> Galway Utd  vs  Cork City </v>
      </c>
      <c r="D79" s="4" t="e">
        <f>_xlfn.TEXTJOIN(", ", ,$E$48,U47,G95)</f>
        <v>#N/A</v>
      </c>
      <c r="E79" s="7" t="str">
        <f>U70</f>
        <v>yes, yes</v>
      </c>
      <c r="F79" s="7" t="str">
        <f>V69</f>
        <v>low G</v>
      </c>
      <c r="G79" s="7" t="e">
        <f>V62</f>
        <v>#N/A</v>
      </c>
      <c r="H79" s="7" t="str">
        <f>W68</f>
        <v>u2.5</v>
      </c>
      <c r="I79" s="7" t="str">
        <f>Sheet2!CY28</f>
        <v>medium</v>
      </c>
      <c r="J79" s="7" t="str">
        <f>V70</f>
        <v>hands off</v>
      </c>
      <c r="K79" s="7" t="e">
        <f>IF(AND(L79="",D62="well",OR(U47="align",U47="full"),E79="no, no",OR(F79="low G",F79="medium"),G79="under",OR(H79="u1.5",H79="u2.5",H79="under1",H79="under2"),I79="low"),"under G",IF(AND(L79="",D62="well",OR(U47="align",U47="full"),E79="no, no",OR(F79="low G",F79="medium"),G79="under",OR(H79="u1.5",H79="u2.5",H79="under1",H79="under2",H79="over3"),OR(I79="low",I79="high")),"under G+1","over1.5"))</f>
        <v>#N/A</v>
      </c>
      <c r="L79" s="7" t="str">
        <f>U69</f>
        <v/>
      </c>
      <c r="M79" s="114" t="e">
        <f t="shared" si="21"/>
        <v>#N/A</v>
      </c>
      <c r="N79" s="114">
        <f t="shared" si="22"/>
        <v>0.6</v>
      </c>
      <c r="O79" s="114" t="e">
        <f t="shared" si="23"/>
        <v>#N/A</v>
      </c>
      <c r="P79" s="114" t="e">
        <f t="shared" si="24"/>
        <v>#N/A</v>
      </c>
      <c r="Q79" s="114" t="e">
        <f t="shared" si="25"/>
        <v>#N/A</v>
      </c>
      <c r="R79" s="7" t="e">
        <f t="shared" si="26"/>
        <v>#N/A</v>
      </c>
      <c r="S79" s="114" t="e">
        <f t="shared" si="27"/>
        <v>#N/A</v>
      </c>
      <c r="T79" s="114" t="e">
        <f t="shared" si="28"/>
        <v>#N/A</v>
      </c>
      <c r="U79" s="7" t="e">
        <f t="shared" si="29"/>
        <v>#N/A</v>
      </c>
      <c r="V79" s="114" t="e">
        <f t="shared" si="30"/>
        <v>#N/A</v>
      </c>
      <c r="W79" s="7" t="e">
        <f>Sheet2!DI17</f>
        <v>#N/A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8:8" ht="69.0" hidden="1" customHeight="1">
      <c r="A80" s="3"/>
      <c r="B80" s="3"/>
      <c r="C80" s="16" t="s">
        <v>76</v>
      </c>
      <c r="D80" s="1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8:8" ht="66.75" hidden="1" customHeight="1">
      <c r="A81" s="108"/>
      <c r="B81" s="108"/>
      <c r="C81" s="118" t="str">
        <f t="shared" si="33" ref="C81:C82">IF(D47="well",1,"")</f>
        <v/>
      </c>
      <c r="D81" s="118">
        <f>IF(OR(E47="align",E47="full"),1,"")</f>
        <v>1.0</v>
      </c>
      <c r="E81" s="108" t="str">
        <f t="shared" si="34" ref="E81:E85">IF(E75="no, no",1,"")</f>
        <v/>
      </c>
      <c r="F81" s="108" t="str">
        <f t="shared" si="35" ref="F81:F85">IF(F75="low G",1,"")</f>
        <v/>
      </c>
      <c r="G81" s="108">
        <f t="shared" si="36" ref="G81:G85">IF(G75="under",1,"")</f>
        <v>1.0</v>
      </c>
      <c r="H81" s="108" t="str">
        <f t="shared" si="37" ref="H81:H85">IF(AND(G75="over",H75="over"),-1,IF(OR(H75="under1",H75="under2",H75="over3"),1,""))</f>
        <v/>
      </c>
      <c r="I81" s="108">
        <f t="shared" si="38" ref="I81:I85">IF(OR(I75="low",I75="medium"),1,"")</f>
        <v>1.0</v>
      </c>
      <c r="J81" s="108">
        <f t="shared" si="39" ref="J81:J85">IF(L75="",1,-1)</f>
        <v>1.0</v>
      </c>
      <c r="K81" s="108">
        <f t="shared" si="40" ref="K81:K85">SUM(C81:I81)+J81</f>
        <v>4.0</v>
      </c>
      <c r="L81" s="108">
        <f t="shared" si="41" ref="L81:L85">COUNTA(C81:J81)</f>
        <v>8.0</v>
      </c>
      <c r="M81" s="119">
        <f>IF(X75=1,1,0)+IF(Y75="YES",1,0)+IF(X76=1,1,0)+IF(Y76="YES",1,0)</f>
        <v>3.0</v>
      </c>
      <c r="N81" s="120">
        <f>IF(OR(L75="swiped",L76="swiped"),1,0)+IF(OR(K75="under G+1",K76="under G+1"),1,0)+IF(OR(Sheet2!D33="yes",Sheet2!D55="yes",Sheet2!AC55="yes",Sheet2!AC17="yes"),1,0)+IF(OR(L88="winover",L89="winover"),1,0)</f>
        <v>1.0</v>
      </c>
      <c r="O81" s="120">
        <f>N81/4*100</f>
        <v>25.0</v>
      </c>
      <c r="P81" s="108">
        <f t="shared" si="42" ref="P81:P82">IF(S86="check",1,2)</f>
        <v>1.0</v>
      </c>
      <c r="Q81" s="108">
        <f t="shared" si="43" ref="Q81:Q82">IF(T90="careful",2,IF(T90="",3,1))</f>
        <v>3.0</v>
      </c>
      <c r="R81" s="108">
        <f>IF(Sheet2!Y25="add",2,IF(Sheet2!Y25="go",3,1))</f>
        <v>2.0</v>
      </c>
      <c r="S81" s="121">
        <f t="shared" si="44" ref="S81:S82">SUM(P81:R81)/8</f>
        <v>0.75</v>
      </c>
      <c r="T81" s="108">
        <f>IF(S81&gt;49%,L96,IF(S81&gt;60,L96,"over"))</f>
        <v>3.5</v>
      </c>
      <c r="U81" s="108">
        <f>IF(AND(S81&gt;74%,O89="move1"),T81,"wait")</f>
        <v>3.5</v>
      </c>
      <c r="V81" s="122">
        <f t="shared" si="45" ref="V81:V82">IF(AND(S81&gt;62%,W83&lt;4,U81&lt;&gt;"wait"),T81,IF(AND(S81&gt;62%,W83&lt;4,Q86&lt;&gt;"add"),T81,"wait"))</f>
        <v>3.5</v>
      </c>
      <c r="W81" s="122" t="str">
        <f>IF(AND(S81=S82,U81=U82,W83=W84,V81&gt;1),"success","check")</f>
        <v>success</v>
      </c>
      <c r="X81" s="122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</row>
    <row r="82" spans="8:8" ht="46.5" hidden="1" customHeight="1">
      <c r="A82" s="3"/>
      <c r="B82" s="3"/>
      <c r="C82" s="16" t="str">
        <f t="shared" si="33"/>
        <v/>
      </c>
      <c r="D82" s="16">
        <f>IF(OR(I47="align",I47="full"),1,"")</f>
        <v>1.0</v>
      </c>
      <c r="E82" s="3" t="str">
        <f t="shared" si="34"/>
        <v/>
      </c>
      <c r="F82" s="3" t="str">
        <f t="shared" si="35"/>
        <v/>
      </c>
      <c r="G82" s="3" t="str">
        <f t="shared" si="36"/>
        <v/>
      </c>
      <c r="H82" s="3">
        <f t="shared" si="37"/>
        <v>-1.0</v>
      </c>
      <c r="I82" s="3">
        <f t="shared" si="38"/>
        <v>1.0</v>
      </c>
      <c r="J82" s="3">
        <f t="shared" si="39"/>
        <v>1.0</v>
      </c>
      <c r="K82" s="3">
        <f t="shared" si="40"/>
        <v>2.0</v>
      </c>
      <c r="L82" s="3">
        <f t="shared" si="41"/>
        <v>8.0</v>
      </c>
      <c r="M82" s="123"/>
      <c r="N82" s="124"/>
      <c r="O82" s="124"/>
      <c r="P82" s="65">
        <f t="shared" si="42"/>
        <v>1.0</v>
      </c>
      <c r="Q82" s="65">
        <f t="shared" si="43"/>
        <v>3.0</v>
      </c>
      <c r="R82" s="3">
        <f>IF(Sheet2!BW25="add",2,IF(Sheet2!BW25="go",3,1))</f>
        <v>2.0</v>
      </c>
      <c r="S82" s="125">
        <f t="shared" si="44"/>
        <v>0.75</v>
      </c>
      <c r="T82" s="65">
        <f>IF(S82&gt;49%,L96,IF(S82&gt;60,L96,"over"))</f>
        <v>3.5</v>
      </c>
      <c r="U82" s="65">
        <f>IF(AND(S82&gt;74%,O90="move2"),T82,"wait")</f>
        <v>3.5</v>
      </c>
      <c r="V82" s="126">
        <f t="shared" si="45"/>
        <v>3.5</v>
      </c>
      <c r="W82" s="60"/>
      <c r="X82" s="60"/>
      <c r="Y82" s="3"/>
      <c r="Z82" s="60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8:8" ht="51.65" customHeight="1">
      <c r="A83" s="7"/>
      <c r="B83" s="7"/>
      <c r="C83" s="4" t="str">
        <f t="shared" si="46" ref="C83:C85">IF(D60="well",1,"")</f>
        <v/>
      </c>
      <c r="D83" s="4">
        <f>IF(OR(M47="align",M47="full"),1,"")</f>
        <v>1.0</v>
      </c>
      <c r="E83" s="7" t="str">
        <f t="shared" si="34"/>
        <v/>
      </c>
      <c r="F83" s="7" t="str">
        <f t="shared" si="35"/>
        <v/>
      </c>
      <c r="G83" s="7" t="str">
        <f t="shared" si="36"/>
        <v/>
      </c>
      <c r="H83" s="7">
        <f t="shared" si="37"/>
        <v>-1.0</v>
      </c>
      <c r="I83" s="7">
        <f t="shared" si="38"/>
        <v>1.0</v>
      </c>
      <c r="J83" s="7">
        <f t="shared" si="39"/>
        <v>1.0</v>
      </c>
      <c r="K83" s="7">
        <f t="shared" si="40"/>
        <v>2.0</v>
      </c>
      <c r="L83" s="7">
        <f t="shared" si="41"/>
        <v>8.0</v>
      </c>
      <c r="M83" s="127">
        <f>IF(X77=1,1,0)+IF(Y77="YES",1,0)+IF(X78=1,1,0)+IF(Y78="YES",1,0)</f>
        <v>3.0</v>
      </c>
      <c r="N83" s="128">
        <f>IF(OR(L77="swiped",L78="swiped"),1,0)+IF(OR(K77="under G+1",K78="under G+1"),1,0)+IF(OR(Sheet2!BB17="yes",Sheet2!BB55="yes",Sheet2!CA17="yes",Sheet2!CA55="yes"),1,0)+IF(OR(L90="winover",L91="winover"),1,0)</f>
        <v>1.0</v>
      </c>
      <c r="O83" s="128">
        <f>N83/4*100</f>
        <v>25.0</v>
      </c>
      <c r="P83" s="7" t="str">
        <f>IF(R88&lt;&gt;"",1,"")</f>
        <v/>
      </c>
      <c r="Q83" s="7" t="str">
        <f>IF(Q88&lt;&gt;"",1,"")</f>
        <v/>
      </c>
      <c r="R83" s="7">
        <f t="shared" si="47" ref="R83:R84">IF(Q86&lt;&gt;"",1,"")</f>
        <v>1.0</v>
      </c>
      <c r="S83" s="7" t="str">
        <f>IF(P88&lt;&gt;"",1,"")</f>
        <v/>
      </c>
      <c r="T83" s="129" t="str">
        <f t="shared" si="48" ref="T83:T84">IF(R93&lt;&gt;"",1,"")</f>
        <v/>
      </c>
      <c r="U83" s="7" t="str">
        <f>IF(T88&lt;&gt;"",1,"")</f>
        <v/>
      </c>
      <c r="V83" s="7">
        <f>IF(Sheet2!F40&lt;&gt;"",1,"")</f>
        <v>1.0</v>
      </c>
      <c r="W83" s="7">
        <f t="shared" si="49" ref="W83:W84">COUNT(P83:V83)</f>
        <v>2.0</v>
      </c>
      <c r="X83" s="129">
        <f>SUM(W83,W84)</f>
        <v>4.0</v>
      </c>
      <c r="Y83" s="7"/>
      <c r="Z83" s="129"/>
      <c r="AA83" s="129"/>
      <c r="AB83" s="129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8:8" ht="15.3">
      <c r="A84" s="3"/>
      <c r="B84" s="3" t="str">
        <f>_xlfn.TEXTJOIN("/ ", ,M110,M108)</f>
        <v>set1/ set</v>
      </c>
      <c r="C84" s="16" t="str">
        <f t="shared" si="46"/>
        <v/>
      </c>
      <c r="D84" s="16">
        <f>IF(OR(Q47="align",Q47="full"),1,"")</f>
        <v>1.0</v>
      </c>
      <c r="E84" s="3" t="str">
        <f t="shared" si="34"/>
        <v/>
      </c>
      <c r="F84" s="3" t="str">
        <f t="shared" si="35"/>
        <v/>
      </c>
      <c r="G84" s="3">
        <f t="shared" si="36"/>
        <v>1.0</v>
      </c>
      <c r="H84" s="3" t="str">
        <f t="shared" si="37"/>
        <v/>
      </c>
      <c r="I84" s="3">
        <f t="shared" si="38"/>
        <v>1.0</v>
      </c>
      <c r="J84" s="3">
        <f t="shared" si="39"/>
        <v>1.0</v>
      </c>
      <c r="K84" s="3">
        <f t="shared" si="40"/>
        <v>4.0</v>
      </c>
      <c r="L84" s="3">
        <f t="shared" si="41"/>
        <v>8.0</v>
      </c>
      <c r="M84" s="3" t="str">
        <f>IF(OR(E63="precised1",E63="precised2",I63="precised1",I63="precised2",AND(C46="settled",C47="high")),"+1","yes")</f>
        <v>yes</v>
      </c>
      <c r="N84" s="3" t="str">
        <f>IF(AND(M84="+1",V99="D+",U99="under1"),"under1",IF(AND(M84="yes",U99="under1"),"under1","check1"))</f>
        <v>under1</v>
      </c>
      <c r="O84" s="3" t="str">
        <f>IF(M84="yes","Go1","")</f>
        <v>Go1</v>
      </c>
      <c r="P84" s="3" t="str">
        <f>IF(R90&lt;&gt;"",1,"")</f>
        <v/>
      </c>
      <c r="Q84" s="3" t="str">
        <f>IF(Q90&lt;&gt;"",1,"")</f>
        <v/>
      </c>
      <c r="R84" s="3">
        <f t="shared" si="47"/>
        <v>1.0</v>
      </c>
      <c r="S84" s="3" t="str">
        <f>IF(P90&lt;&gt;"",1,"")</f>
        <v/>
      </c>
      <c r="T84" s="60" t="str">
        <f t="shared" si="48"/>
        <v/>
      </c>
      <c r="U84" s="3" t="str">
        <f>IF(U88&lt;&gt;"",1,"")</f>
        <v/>
      </c>
      <c r="V84" s="3">
        <f>IF(Sheet2!BE39&lt;&gt;"",1,"")</f>
        <v>1.0</v>
      </c>
      <c r="W84" s="3">
        <f t="shared" si="49"/>
        <v>2.0</v>
      </c>
      <c r="X84" s="60"/>
      <c r="Y84" s="3"/>
      <c r="Z84" s="3"/>
      <c r="AA84" s="3"/>
      <c r="AB84" s="60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8:8" ht="73.85" hidden="1" customHeight="1">
      <c r="A85" s="7"/>
      <c r="B85" s="130" t="str">
        <f>IF(AND(B84="set1/ not set",C74="set1/ not set"),"Double",IF(AND(B84="set1/ set",C74="set1/ set"),"under",IF(AND(B84="set1/ set",C74="check"),"DOUBLE","Check")))</f>
        <v>under</v>
      </c>
      <c r="C85" s="7">
        <f t="shared" si="46"/>
        <v>1.0</v>
      </c>
      <c r="D85" s="7" t="str">
        <f>IF(OR(U47="align",U47="full"),1,"")</f>
        <v/>
      </c>
      <c r="E85" s="7" t="str">
        <f t="shared" si="34"/>
        <v/>
      </c>
      <c r="F85" s="7">
        <f t="shared" si="35"/>
        <v>1.0</v>
      </c>
      <c r="G85" s="7" t="e">
        <f t="shared" si="36"/>
        <v>#N/A</v>
      </c>
      <c r="H85" s="7" t="e">
        <f t="shared" si="37"/>
        <v>#N/A</v>
      </c>
      <c r="I85" s="7">
        <f t="shared" si="38"/>
        <v>1.0</v>
      </c>
      <c r="J85" s="7">
        <f t="shared" si="39"/>
        <v>1.0</v>
      </c>
      <c r="K85" s="7" t="e">
        <f t="shared" si="40"/>
        <v>#N/A</v>
      </c>
      <c r="L85" s="7">
        <f t="shared" si="41"/>
        <v>8.0</v>
      </c>
      <c r="M85" s="7" t="str">
        <f>IF(OR(M63="precised1",M63="precised2",Q63="precised1",Q63="precised2",AND(C46="settled",C47="high")),"+1","yes")</f>
        <v>yes</v>
      </c>
      <c r="N85" s="7" t="str">
        <f>IF(AND(M85="+1",V100="D+",U100="under2"),"under2",IF(AND(M85="yes",U100="under2"),"under2","check2"))</f>
        <v>under2</v>
      </c>
      <c r="O85" s="7" t="str">
        <f>IF(M85="yes","Go2","")</f>
        <v>Go2</v>
      </c>
      <c r="P85" s="7"/>
      <c r="Q85" s="7"/>
      <c r="R85" s="7"/>
      <c r="S85" s="7"/>
      <c r="T85" s="7"/>
      <c r="U85" s="7"/>
      <c r="V85" s="129"/>
      <c r="W85" s="129"/>
      <c r="X85" s="129"/>
      <c r="Y85" s="7"/>
      <c r="Z85" s="129"/>
      <c r="AA85" s="129"/>
      <c r="AB85" s="129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8:8" ht="70.55" hidden="1" customHeight="1">
      <c r="A86" s="3"/>
      <c r="B86" s="3"/>
      <c r="C86" s="3"/>
      <c r="D86" s="3" t="str">
        <f t="shared" si="50" ref="D86:D87">IF(D47="well",1,"")</f>
        <v/>
      </c>
      <c r="E86" s="3" t="str">
        <f t="shared" si="51" ref="E86:E90">IF(E75="no, no",1,"")</f>
        <v/>
      </c>
      <c r="F86" s="3">
        <f t="shared" si="52" ref="F86:F90">IF(OR(F75="High",F75="medium"),1,"")</f>
        <v>1.0</v>
      </c>
      <c r="G86" s="3">
        <f t="shared" si="53" ref="G86:G90">IF(OR(I75="high",I75="medium"),1,"")</f>
        <v>1.0</v>
      </c>
      <c r="H86" s="3">
        <f t="shared" si="54" ref="H86:H90">IF(L75="",1,-1)</f>
        <v>1.0</v>
      </c>
      <c r="I86" s="3">
        <f t="shared" si="55" ref="I86:I90">COUNT(D86:G86)+H86</f>
        <v>3.0</v>
      </c>
      <c r="J86" s="3">
        <f t="shared" si="56" ref="J86:J90">COUNTA(D86:H86)</f>
        <v>5.0</v>
      </c>
      <c r="K86" s="3">
        <f t="shared" si="57" ref="K86:K87">IF(T99="",1,0)</f>
        <v>1.0</v>
      </c>
      <c r="L86" s="3">
        <f>IF(V95="under1",2,0)</f>
        <v>0.0</v>
      </c>
      <c r="M86" s="3">
        <f>IF(N84="under1",1,0)</f>
        <v>1.0</v>
      </c>
      <c r="N86" s="3">
        <f>IF(O84="Go1",1,0)</f>
        <v>1.0</v>
      </c>
      <c r="O86" s="3">
        <f>IF(O89="move1",1,0)</f>
        <v>1.0</v>
      </c>
      <c r="P86" s="131">
        <f t="shared" si="58" ref="P86:P87">SUM(K86:O86)/(COUNT(K86:O86)+1)*100</f>
        <v>66.66666666666666</v>
      </c>
      <c r="Q86" s="3" t="str">
        <f>IF(P86&lt;60,"check",IF(AND(P86&lt;67,P86&gt;50,V95="under1"),"Add",E48))</f>
        <v>4goals</v>
      </c>
      <c r="R86" s="3">
        <f>IF(Sheet2!Y25="D'over","check",IF(Sheet2!Y25="Add",L96+1,IF(AND(Q86="Add",W94="ok"),$L$96+1,IF(AND(Q86&lt;&gt;"Add",W94="ok"),$L$96,"check"))))</f>
        <v>4.5</v>
      </c>
      <c r="S86" s="132" t="str">
        <f t="shared" si="59" ref="S86:S87">IF(AND(R86&gt;1,W94="ok",AA92&gt;74),R86,IF(AND(R86&gt;1,W94="ok",AA92&lt;74),R86+1,"check"))</f>
        <v>check</v>
      </c>
      <c r="T86" s="60"/>
      <c r="U86" s="3"/>
      <c r="V86" s="60"/>
      <c r="W86" s="3"/>
      <c r="X86" s="3"/>
      <c r="Y86" s="3"/>
      <c r="Z86" s="3"/>
      <c r="AA86" s="3"/>
      <c r="AB86" s="60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8:8" ht="57.2" hidden="1" customHeight="1">
      <c r="A87" s="7"/>
      <c r="B87" s="7"/>
      <c r="C87" s="7"/>
      <c r="D87" s="7" t="str">
        <f t="shared" si="50"/>
        <v/>
      </c>
      <c r="E87" s="7" t="str">
        <f t="shared" si="51"/>
        <v/>
      </c>
      <c r="F87" s="7">
        <f t="shared" si="52"/>
        <v>1.0</v>
      </c>
      <c r="G87" s="7">
        <f t="shared" si="53"/>
        <v>1.0</v>
      </c>
      <c r="H87" s="7">
        <f t="shared" si="54"/>
        <v>1.0</v>
      </c>
      <c r="I87" s="7">
        <f t="shared" si="55"/>
        <v>3.0</v>
      </c>
      <c r="J87" s="7">
        <f t="shared" si="56"/>
        <v>5.0</v>
      </c>
      <c r="K87" s="7">
        <f t="shared" si="57"/>
        <v>1.0</v>
      </c>
      <c r="L87" s="7">
        <f>IF(V96="under2",2,0)</f>
        <v>0.0</v>
      </c>
      <c r="M87" s="7">
        <f>IF(N85="under2",1,0)</f>
        <v>1.0</v>
      </c>
      <c r="N87" s="7">
        <f>IF(O85="Go2",1,0)</f>
        <v>1.0</v>
      </c>
      <c r="O87" s="7">
        <f>IF(O90="move2",1,0)</f>
        <v>1.0</v>
      </c>
      <c r="P87" s="133">
        <f t="shared" si="58"/>
        <v>66.66666666666666</v>
      </c>
      <c r="Q87" s="7" t="str">
        <f>IF(P87&lt;60,"check",IF(AND(P87&lt;67,P87&gt;50,V96="under2"),"Add",I48))</f>
        <v>4goals</v>
      </c>
      <c r="R87" s="7">
        <f>IF(Sheet2!BW25="D'over","check",IF(Sheet2!BW25="Add",L96+1,IF(AND(Q87="Add",W95="ok"),$L$96+1,IF(AND(Q87&lt;&gt;"Add",W95="ok"),$L$96,"check"))))</f>
        <v>4.5</v>
      </c>
      <c r="S87" s="134" t="str">
        <f t="shared" si="59"/>
        <v>check</v>
      </c>
      <c r="T87" s="7"/>
      <c r="U87" s="7"/>
      <c r="V87" s="7"/>
      <c r="W87" s="7"/>
      <c r="X87" s="129"/>
      <c r="Y87" s="7"/>
      <c r="Z87" s="129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8:8" ht="79.85" hidden="1" customHeight="1">
      <c r="A88" s="3"/>
      <c r="B88" s="3"/>
      <c r="C88" s="3"/>
      <c r="D88" s="3" t="str">
        <f t="shared" si="60" ref="D88:D90">IF(D60="well",1,"")</f>
        <v/>
      </c>
      <c r="E88" s="3" t="str">
        <f t="shared" si="51"/>
        <v/>
      </c>
      <c r="F88" s="3">
        <f t="shared" si="52"/>
        <v>1.0</v>
      </c>
      <c r="G88" s="3">
        <f t="shared" si="53"/>
        <v>1.0</v>
      </c>
      <c r="H88" s="3">
        <f t="shared" si="54"/>
        <v>1.0</v>
      </c>
      <c r="I88" s="3">
        <f t="shared" si="55"/>
        <v>3.0</v>
      </c>
      <c r="J88" s="3">
        <f t="shared" si="56"/>
        <v>5.0</v>
      </c>
      <c r="K88" s="135">
        <f>ABS(G91-G92)</f>
        <v>25.0</v>
      </c>
      <c r="L88" s="3" t="b">
        <f t="shared" si="61" ref="L88:L91">IF(AND(N75&gt;M75,Q75&gt;55%),"winover")</f>
        <v>0</v>
      </c>
      <c r="M88" s="3">
        <f>IF(AND(L88="winover",L89="winover"),2,IF(OR(L88="winover",L89="winover"),1,0))</f>
        <v>0.0</v>
      </c>
      <c r="N88" s="3"/>
      <c r="O88" s="3"/>
      <c r="P88" s="3" t="str">
        <f>IF(AND(L88="winover",L89="winover"),"both",IF(OR(L88="winover",L89="winover"),"one",""))</f>
        <v/>
      </c>
      <c r="Q88" s="136" t="str">
        <f>IF(AND(K75="under G+1",K76="under G+1"),"both",IF(OR(K75="under G+1",K76="under G+1"),"oneu",""))</f>
        <v/>
      </c>
      <c r="R88" s="3" t="str">
        <f>IF(AND(S88="win",S89="win"),"ToT",IF(OR(S88="win",S89="win"),"ToT1",""))</f>
        <v/>
      </c>
      <c r="S88" s="3" t="str">
        <f>Sheet2!N16</f>
        <v>edge</v>
      </c>
      <c r="T88" s="132" t="str">
        <f>IF(AND(E47="align",I47="align"),"","not")</f>
        <v/>
      </c>
      <c r="U88" s="132" t="str">
        <f>IF(AND(M47="align",Q47="align"),"","not")</f>
        <v/>
      </c>
      <c r="V88" s="60"/>
      <c r="W88" s="3"/>
      <c r="X88" s="3"/>
      <c r="Y88" s="3"/>
      <c r="Z88" s="60"/>
      <c r="AA88" s="60"/>
      <c r="AB88" s="60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8:8" ht="60.55" hidden="1" customHeight="1">
      <c r="A89" s="7"/>
      <c r="B89" s="7"/>
      <c r="C89" s="7"/>
      <c r="D89" s="7" t="str">
        <f t="shared" si="60"/>
        <v/>
      </c>
      <c r="E89" s="7" t="str">
        <f t="shared" si="51"/>
        <v/>
      </c>
      <c r="F89" s="7">
        <f t="shared" si="52"/>
        <v>1.0</v>
      </c>
      <c r="G89" s="7">
        <f t="shared" si="53"/>
        <v>1.0</v>
      </c>
      <c r="H89" s="7">
        <f t="shared" si="54"/>
        <v>1.0</v>
      </c>
      <c r="I89" s="7">
        <f t="shared" si="55"/>
        <v>3.0</v>
      </c>
      <c r="J89" s="7">
        <f t="shared" si="56"/>
        <v>5.0</v>
      </c>
      <c r="K89" s="89">
        <f>ABS(G93-G94)</f>
        <v>25.0</v>
      </c>
      <c r="L89" s="7" t="b">
        <f t="shared" si="61"/>
        <v>0</v>
      </c>
      <c r="M89" s="7" t="str">
        <f>IF(AND(M88=2,K88&lt;1),"ok",IF(AND(M88=2,K88&gt;1),"not ok",IF(AND(M88=1,K88&lt;1),"ok",IF(AND(M88=1,K88&gt;1),"not ok","ok1"))))</f>
        <v>ok1</v>
      </c>
      <c r="N89" s="127">
        <f>IF(M89="not ok",0,1)</f>
        <v>1.0</v>
      </c>
      <c r="O89" s="7" t="str">
        <f>IF(OR(K90=0,K90=50,K90=25,K90=100),"hold1","move1")</f>
        <v>move1</v>
      </c>
      <c r="P89" s="7"/>
      <c r="Q89" s="133"/>
      <c r="R89" s="7"/>
      <c r="S89" s="7" t="str">
        <f>Sheet2!AM16</f>
        <v>edge</v>
      </c>
      <c r="T89" s="7" t="str">
        <f>IF(AND(OR(O89="hold1",O90="hold2"),OR(T99="over1",T100="over2")),"yes","no")</f>
        <v>no</v>
      </c>
      <c r="U89" s="7" t="str">
        <f>Sheet2!Z27</f>
        <v>no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8:8" ht="55.9" hidden="1" customHeight="1">
      <c r="A90" s="3"/>
      <c r="B90" s="3"/>
      <c r="C90" s="3"/>
      <c r="D90" s="3">
        <f t="shared" si="60"/>
        <v>1.0</v>
      </c>
      <c r="E90" s="3" t="str">
        <f t="shared" si="51"/>
        <v/>
      </c>
      <c r="F90" s="3" t="str">
        <f t="shared" si="52"/>
        <v/>
      </c>
      <c r="G90" s="3">
        <f t="shared" si="53"/>
        <v>1.0</v>
      </c>
      <c r="H90" s="3">
        <f t="shared" si="54"/>
        <v>1.0</v>
      </c>
      <c r="I90" s="3">
        <f t="shared" si="55"/>
        <v>3.0</v>
      </c>
      <c r="J90" s="3">
        <f t="shared" si="56"/>
        <v>5.0</v>
      </c>
      <c r="K90" s="137">
        <f>SUM(G91,G92)</f>
        <v>175.0</v>
      </c>
      <c r="L90" s="3" t="b">
        <f t="shared" si="61"/>
        <v>0</v>
      </c>
      <c r="M90" s="3">
        <f>IF(AND(L90="winover",L91="winover"),2,IF(OR(L90="winover",L91="winover"),1,0))</f>
        <v>0.0</v>
      </c>
      <c r="N90" s="123"/>
      <c r="O90" s="3" t="str">
        <f>IF(OR(K91=0,K91=50,K91=25,K91=100),"hold2","move2")</f>
        <v>move2</v>
      </c>
      <c r="P90" s="3" t="str">
        <f>IF(AND(L90="winover",L91="winover"),"both",IF(OR(L90="winover",L91="winover"),"one",""))</f>
        <v/>
      </c>
      <c r="Q90" s="131" t="str">
        <f>IF(AND(K77="under G+1",K78="under G+1"),"both",IF(OR(K77="under G+1",K78="under G+1"),"oneu",""))</f>
        <v/>
      </c>
      <c r="R90" s="3" t="str">
        <f>IF(AND(S90="win",S91="win"),"ToT",IF(OR(S90="win",S91="win"),"ToT1",""))</f>
        <v/>
      </c>
      <c r="S90" s="3" t="str">
        <f>Sheet2!BL16</f>
        <v>edge</v>
      </c>
      <c r="T90" s="3" t="str">
        <f>IF(AND(T88="not",R93="full"),"never",IF(OR(R93="full",T88="not"),"careful",""))</f>
        <v/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8:8" ht="72.55" hidden="1" customHeight="1">
      <c r="A91" s="7"/>
      <c r="B91" s="7"/>
      <c r="C91" s="7">
        <f t="shared" si="62" ref="C91:C95">IF(AND(G75="over",H75="over"),"",1)</f>
        <v>1.0</v>
      </c>
      <c r="D91" s="7">
        <f>IF(OR(E47="align",E47="full",E47="partially"),1,"")</f>
        <v>1.0</v>
      </c>
      <c r="E91" s="7">
        <f t="shared" si="63" ref="E91:E95">IF(L75="swiped",-2,1)</f>
        <v>1.0</v>
      </c>
      <c r="F91" s="7">
        <f t="shared" si="64" ref="F91:F95">IF(AND(V75&gt;0%,OR(U75="yes",U75="yes1")),1,"")</f>
        <v>1.0</v>
      </c>
      <c r="G91" s="138">
        <f t="shared" si="65" ref="G91:G95">(SUM(D91,E91,F91,C91)/4)*100</f>
        <v>100.0</v>
      </c>
      <c r="H91" s="7" t="str">
        <f>IF(AND(U75="no",OR(D47="not",E62="not")),"not set",IF(OR(E75="yes, yes",E75="yes, no"),"not set",IF(AND(U75="No",OR(G75="over",H75="over")),"not set",IF(AND(D47="not",E62="not",OR(G75="over",H75="over")),"not set","set"))))</f>
        <v>not set</v>
      </c>
      <c r="I91" s="7">
        <f>IF(G46="check",0,IF(G46="u3.5",1,IF(G46="u2.5+",2,3)))</f>
        <v>0.0</v>
      </c>
      <c r="J91" s="89" t="str">
        <f>IF(AND(I91&gt;0,P97&gt;50,I92&gt;0),E48,"over")</f>
        <v>over</v>
      </c>
      <c r="K91" s="139">
        <f>SUM(G93,G94)</f>
        <v>175.0</v>
      </c>
      <c r="L91" s="7" t="b">
        <f t="shared" si="61"/>
        <v>0</v>
      </c>
      <c r="M91" s="7" t="str">
        <f>IF(AND(M90=2,K89&lt;1),"ok",IF(AND(M90=2,K89&gt;1),"not ok",IF(AND(M90=1,K89&lt;1),"ok",IF(AND(M90=1,K89&gt;1),"not ok","ok1"))))</f>
        <v>ok1</v>
      </c>
      <c r="N91" s="127">
        <f>IF(M91="not ok",0,1)</f>
        <v>1.0</v>
      </c>
      <c r="O91" s="7"/>
      <c r="P91" s="140">
        <f>SUM(G91:G92)</f>
        <v>175.0</v>
      </c>
      <c r="Q91" s="7" t="str">
        <f>IF(OR(P91=125,OR(Sheet2!X24="o2.5",Sheet2!X24="don't choose",Sheet2!AW24="o2.5",Sheet2!AW24="don't choose")),"No","yes")</f>
        <v>No</v>
      </c>
      <c r="R91" s="7"/>
      <c r="S91" s="7" t="str">
        <f>Sheet2!CK16</f>
        <v>edge</v>
      </c>
      <c r="T91" s="7" t="str">
        <f>IF(AND(U88="not",R94="full"),"never",IF(OR(R94="full",U88="not"),"careful",""))</f>
        <v/>
      </c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8:8" ht="62.55" hidden="1" customHeight="1">
      <c r="A92" s="3"/>
      <c r="B92" s="3"/>
      <c r="C92" s="3" t="str">
        <f t="shared" si="62"/>
        <v/>
      </c>
      <c r="D92" s="3">
        <f>IF(OR(I47="align",I47="full",I47="partially"),1,"")</f>
        <v>1.0</v>
      </c>
      <c r="E92" s="3">
        <f t="shared" si="63"/>
        <v>1.0</v>
      </c>
      <c r="F92" s="3">
        <f t="shared" si="64"/>
        <v>1.0</v>
      </c>
      <c r="G92" s="141">
        <f t="shared" si="65"/>
        <v>75.0</v>
      </c>
      <c r="H92" s="3" t="str">
        <f>IF(AND(U76="no",OR(D48="not",I62="not")),"not set",IF(OR(E76="yes, yes",E76="yes, no"),"not set",IF(AND(U76="No",OR(G76="over",H76="over")),"not set",IF(AND(D48="not",I62="not",OR(G76="over",H76="over")),"not set","set"))))</f>
        <v>not set</v>
      </c>
      <c r="I92" s="3">
        <f>IF(K46="check",0,IF(K46="u3.5",1,IF(K46="u2.5+",2,3)))</f>
        <v>0.0</v>
      </c>
      <c r="J92" s="135"/>
      <c r="K92" s="142">
        <f>IF(OR(B102=E48,P99=E48),1,0)</f>
        <v>0.0</v>
      </c>
      <c r="L92" s="142">
        <f t="shared" si="66" ref="L92:L93">IF(N97&lt;&gt;"over",1,-1)</f>
        <v>-1.0</v>
      </c>
      <c r="M92" s="142">
        <f>IF(M89&lt;&gt;"not ok",1,0)</f>
        <v>1.0</v>
      </c>
      <c r="N92" s="142">
        <f>IF(H48="good",1,0)</f>
        <v>0.0</v>
      </c>
      <c r="O92" s="142">
        <f t="shared" si="67" ref="O92:O93">SUM(K92:N92)/COUNT(K92:N92)*100</f>
        <v>0.0</v>
      </c>
      <c r="P92" s="3"/>
      <c r="Q92" s="3"/>
      <c r="R92" s="3"/>
      <c r="S92" s="3" t="str">
        <f>IF(R88="TOT1",1,IF(R88="TOT",2,""))</f>
        <v/>
      </c>
      <c r="T92" s="3" t="str">
        <f>IF(Q88="both",2,IF(Q88="oneu",1,""))</f>
        <v/>
      </c>
      <c r="U92" s="3" t="str">
        <f t="shared" si="68" ref="U92:U93">IF(Q86="add",1,"")</f>
        <v/>
      </c>
      <c r="V92" s="3" t="str">
        <f>IF(P88="one",1,IF(P88="both",2,""))</f>
        <v/>
      </c>
      <c r="W92" s="3" t="str">
        <f t="shared" si="69" ref="W92:W93">IF(R93="full",1,"")</f>
        <v/>
      </c>
      <c r="X92" s="3" t="str">
        <f>IF(T88="not",1,"")</f>
        <v/>
      </c>
      <c r="Y92" s="3">
        <f>IF(Sheet2!F40="coup",1,"")</f>
        <v>1.0</v>
      </c>
      <c r="Z92" s="3">
        <f t="shared" si="70" ref="Z92:Z93">SUM(S92:Y92,AB92,U97)/16*100</f>
        <v>6.25</v>
      </c>
      <c r="AA92" s="3">
        <f t="shared" si="71" ref="AA92:AA93">100-Z92</f>
        <v>93.75</v>
      </c>
      <c r="AB92" s="3" t="str">
        <f>IF(AND(H54=H62,H54="under+1",H62="under+1"),3,"")</f>
        <v/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8:8" ht="43.25" hidden="1" customHeight="1">
      <c r="A93" s="7"/>
      <c r="B93" s="7"/>
      <c r="C93" s="7" t="str">
        <f t="shared" si="62"/>
        <v/>
      </c>
      <c r="D93" s="7">
        <f>IF(OR(M47="align",M47="full",M47="partially"),1,"")</f>
        <v>1.0</v>
      </c>
      <c r="E93" s="7">
        <f t="shared" si="63"/>
        <v>1.0</v>
      </c>
      <c r="F93" s="7">
        <f t="shared" si="64"/>
        <v>1.0</v>
      </c>
      <c r="G93" s="138">
        <f t="shared" si="65"/>
        <v>75.0</v>
      </c>
      <c r="H93" s="7" t="str">
        <f>IF(AND(U77="no",OR(D54="not",M62="not")),"not set",IF(OR(E77="yes, yes",E77="yes, no"),"not set",IF(AND(U77="No",OR(G77="over",H77="over")),"not set",IF(AND(D54="not",M62="not",OR(G77="over",H77="over")),"not set","set"))))</f>
        <v>not set</v>
      </c>
      <c r="I93" s="7">
        <f>IF(O46="check",0,IF(O46="u3.5",1,IF(O46="u2.5+",2,3)))</f>
        <v>0.0</v>
      </c>
      <c r="J93" s="89" t="str">
        <f>IF(AND(I93&gt;0,P98&gt;50,I94&gt;0),E48,"over")</f>
        <v>over</v>
      </c>
      <c r="K93" s="143">
        <f>IF(OR(B103=E48,P100=E48),1,0)</f>
        <v>0.0</v>
      </c>
      <c r="L93" s="143">
        <f t="shared" si="66"/>
        <v>-1.0</v>
      </c>
      <c r="M93" s="143">
        <f>IF(M91&lt;&gt;"not ok",1,0)</f>
        <v>1.0</v>
      </c>
      <c r="N93" s="143">
        <f>IF(P48="good",1,0)</f>
        <v>0.0</v>
      </c>
      <c r="O93" s="143">
        <f t="shared" si="67"/>
        <v>0.0</v>
      </c>
      <c r="P93" s="140">
        <f>SUM(G93:G94)</f>
        <v>175.0</v>
      </c>
      <c r="Q93" s="7" t="str">
        <f>IF(OR(P93=125,OR(Sheet2!BV24="o2.5",Sheet2!BV24="don't choose",Sheet2!CU24="o2.5",Sheet2!CU24="don't choose")),"No","yes")</f>
        <v>No</v>
      </c>
      <c r="R93" s="144" t="str">
        <f t="shared" si="72" ref="R93:R94">IF(S99&gt;75,"full","")</f>
        <v/>
      </c>
      <c r="S93" s="7" t="str">
        <f>IF(R90="TOT1",1,IF(R90="TOT",2,""))</f>
        <v/>
      </c>
      <c r="T93" s="7" t="str">
        <f>IF(Q90="both",2,IF(Q90="oneu",1,""))</f>
        <v/>
      </c>
      <c r="U93" s="7" t="str">
        <f t="shared" si="68"/>
        <v/>
      </c>
      <c r="V93" s="7" t="str">
        <f>IF(P90="one",1,IF(P90="both",2,""))</f>
        <v/>
      </c>
      <c r="W93" s="7" t="str">
        <f t="shared" si="69"/>
        <v/>
      </c>
      <c r="X93" s="7" t="str">
        <f>IF(U88="not",1,"")</f>
        <v/>
      </c>
      <c r="Y93" s="7">
        <f>IF(Sheet2!BE39="coup",1,"")</f>
        <v>1.0</v>
      </c>
      <c r="Z93" s="7">
        <f t="shared" si="70"/>
        <v>6.25</v>
      </c>
      <c r="AA93" s="7">
        <f t="shared" si="71"/>
        <v>93.75</v>
      </c>
      <c r="AB93" s="7" t="str">
        <f>IF(AND(P54=P62,P54="under+1",P62="under+1"),3,"")</f>
        <v/>
      </c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8:8" ht="47.9" hidden="1" customHeight="1">
      <c r="A94" s="3"/>
      <c r="B94" s="3"/>
      <c r="C94" s="3">
        <f t="shared" si="62"/>
        <v>1.0</v>
      </c>
      <c r="D94" s="3">
        <f>IF(OR(Q47="align",Q47="full",Q47="partially"),1,"")</f>
        <v>1.0</v>
      </c>
      <c r="E94" s="3">
        <f t="shared" si="63"/>
        <v>1.0</v>
      </c>
      <c r="F94" s="3">
        <f t="shared" si="64"/>
        <v>1.0</v>
      </c>
      <c r="G94" s="141">
        <f t="shared" si="65"/>
        <v>100.0</v>
      </c>
      <c r="H94" s="3" t="str">
        <f>IF(AND(U78="no",OR(D61="not",Q62="not")),"not set",IF(OR(E78="yes, yes",E78="yes, no"),"not set",IF(AND(U78="No",OR(G78="over",H78="over")),"not set",IF(AND(D61="not",Q62="not",OR(G78="over",H78="over")),"not set","set"))))</f>
        <v>not set</v>
      </c>
      <c r="I94" s="3">
        <f>IF(S46="check",0,IF(S46="u3.5",1,IF(S46="u2.5+",2,3)))</f>
        <v>0.0</v>
      </c>
      <c r="J94" s="3"/>
      <c r="K94" s="3"/>
      <c r="L94" s="3"/>
      <c r="M94" s="3"/>
      <c r="N94" s="3"/>
      <c r="O94" s="3"/>
      <c r="P94" s="3"/>
      <c r="Q94" s="3"/>
      <c r="R94" s="145" t="str">
        <f t="shared" si="72"/>
        <v/>
      </c>
      <c r="S94" s="3"/>
      <c r="T94" s="3"/>
      <c r="U94" s="3"/>
      <c r="V94" s="3"/>
      <c r="W94" s="3" t="str">
        <f t="shared" si="73" ref="W94:W95">IF(P97&lt;40,"",IF(AND(P97&lt;60,AA92&gt;74),"Add",IF(AND(P97&gt;50,AA92&lt;74),"add2","ok")))</f>
        <v>Add</v>
      </c>
      <c r="X94" s="3" t="s">
        <v>77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8:8" ht="53.25" hidden="1" customHeight="1">
      <c r="A95" s="7"/>
      <c r="B95" s="7"/>
      <c r="C95" s="7" t="e">
        <f t="shared" si="62"/>
        <v>#N/A</v>
      </c>
      <c r="D95" s="7">
        <f>IF(OR(U47="align",U47="full",U47="partially"),1,"")</f>
        <v>1.0</v>
      </c>
      <c r="E95" s="7">
        <f t="shared" si="63"/>
        <v>1.0</v>
      </c>
      <c r="F95" s="7" t="e">
        <f t="shared" si="64"/>
        <v>#N/A</v>
      </c>
      <c r="G95" s="138" t="e">
        <f t="shared" si="65"/>
        <v>#N/A</v>
      </c>
      <c r="H95" s="7" t="e">
        <f>IF(AND(U79="no",OR(D62="not",U62="not")),"not set",IF(OR(E79="yes, yes",E79="yes, no"),"not set",IF(AND(D62="not",U62="not",OR(G79="over",H79="over")),"not set","set")))</f>
        <v>#N/A</v>
      </c>
      <c r="I95" s="7">
        <f>IF(W46="check",0,IF(W46="u3.5",1,IF(W46="u2.5+",2,3)))</f>
        <v>2.0</v>
      </c>
      <c r="J95" s="7"/>
      <c r="K95" s="7"/>
      <c r="L95" s="7"/>
      <c r="M95" s="127">
        <f t="shared" si="74" ref="M95:N95">IF(M96="under",2,0)</f>
        <v>0.0</v>
      </c>
      <c r="N95" s="127">
        <f t="shared" si="74"/>
        <v>0.0</v>
      </c>
      <c r="O95" s="146">
        <f>IF(H48="good",2,0)</f>
        <v>0.0</v>
      </c>
      <c r="P95" s="146">
        <f>IF(H54="under",3,IF(H54="run",2,IF(H54="under +1",1,0)))</f>
        <v>2.0</v>
      </c>
      <c r="Q95" s="146">
        <f>IF(H61&lt;&gt;"+1",1,0)</f>
        <v>1.0</v>
      </c>
      <c r="R95" s="147">
        <f>IF(H62=H54,1,0)</f>
        <v>0.0</v>
      </c>
      <c r="S95" s="146">
        <f>IF(H63&lt;&gt;"No",1,0)</f>
        <v>0.0</v>
      </c>
      <c r="T95" s="146">
        <f t="shared" si="75" ref="T95:T96">SUM(O95:S95)/8*100</f>
        <v>37.5</v>
      </c>
      <c r="U95" s="7" t="str">
        <f>IF(AND(T95&gt;49,P97&gt;60,H61&lt;&gt;N81,Q91="yes"),"valid","invalid")</f>
        <v>invalid</v>
      </c>
      <c r="V95" s="7" t="str">
        <f>IF(AND(E47&lt;&gt;"the goal",I47&lt;&gt;"the goal",E47&lt;&gt;"partially",I47&lt;&gt;"partially",Sheet2!E40&lt;&gt;"yes1",Sheet2!E40&lt;&gt;"never"),"under1","check1")</f>
        <v>check1</v>
      </c>
      <c r="W95" s="7" t="str">
        <f t="shared" si="73"/>
        <v>Add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8:8" ht="45.9" hidden="1" customHeight="1">
      <c r="A96" s="3"/>
      <c r="B96" s="3" t="str">
        <f t="shared" si="76" ref="B96:B100">IF(H91="set",1,"")</f>
        <v/>
      </c>
      <c r="C96" s="3"/>
      <c r="D96" s="3">
        <f>IF(OR(E47="align",E47="full"),1,"")</f>
        <v>1.0</v>
      </c>
      <c r="E96" s="3">
        <f t="shared" si="77" ref="E96:E100">IF(G91&gt;74,1,"")</f>
        <v>1.0</v>
      </c>
      <c r="F96" s="3" t="str">
        <f t="shared" si="78" ref="F96:F100">IF(E75="no, no",1,"")</f>
        <v/>
      </c>
      <c r="G96" s="141">
        <f t="shared" si="79" ref="G96:G100">IF(OR(U75="yes1",U75="yes"),1,"")</f>
        <v>1.0</v>
      </c>
      <c r="H96" s="3">
        <f t="shared" si="80" ref="H96:H100">IF(OR(W75="1, edge",W75="2, edge",W75="x, edge"),1,"")</f>
        <v>1.0</v>
      </c>
      <c r="I96" s="3">
        <f t="shared" si="81" ref="I96:I100">COUNT(B96:H96)</f>
        <v>4.0</v>
      </c>
      <c r="J96" s="3">
        <f t="shared" si="82" ref="J96:J100">COUNTBLANK(B96:H96)-1</f>
        <v>2.0</v>
      </c>
      <c r="K96" s="3">
        <f t="shared" si="83" ref="K96:K100">I96/(I96+J96)*100</f>
        <v>66.66666666666666</v>
      </c>
      <c r="L96" s="3">
        <f>IF(E48="3goals",2.5,IF(E48="4goals",3.5,IF(E48="5 goals",4.5,1.5)))</f>
        <v>3.5</v>
      </c>
      <c r="M96" s="3" t="str">
        <f>IF(AND(OR(E47="align",E47="full"),E75="no, no",A101&gt;55),"under","check")</f>
        <v>check</v>
      </c>
      <c r="N96" s="15" t="str">
        <f>IF(AND(OR(M47="align",M47="full"),E77="no, no",B101&gt;55),"under","check")</f>
        <v>check</v>
      </c>
      <c r="O96" s="148">
        <f>IF(P48="good",2,0)</f>
        <v>0.0</v>
      </c>
      <c r="P96" s="148">
        <f>IF(P54="under",3,IF(P54="run",2,IF(P54="under +1",1,0)))</f>
        <v>2.0</v>
      </c>
      <c r="Q96" s="148">
        <f>IF(P61&lt;&gt;"+1",1,0)</f>
        <v>1.0</v>
      </c>
      <c r="R96" s="148">
        <f>IF(P62=P54,1,0)</f>
        <v>0.0</v>
      </c>
      <c r="S96" s="148">
        <f>IF(P63&lt;&gt;"No",1,0)</f>
        <v>0.0</v>
      </c>
      <c r="T96" s="148">
        <f t="shared" si="75"/>
        <v>37.5</v>
      </c>
      <c r="U96" s="3" t="str">
        <f>IF(AND(T96&gt;49,P98&gt;60,P61&lt;&gt;N83,Q93="yes"),"valid","invalid")</f>
        <v>invalid</v>
      </c>
      <c r="V96" s="3" t="str">
        <f>IF(AND(M47&lt;&gt;"the goal",Q47&lt;&gt;"the goal",M47&lt;&gt;"partially",Q47&lt;&gt;"partially",Sheet2!BD39&lt;&gt;"yes1",Sheet2!BD39&lt;&gt;"never"),"under2","check2")</f>
        <v>check2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8:8" ht="43.25" hidden="1" customHeight="1">
      <c r="A97" s="7"/>
      <c r="B97" s="7" t="str">
        <f t="shared" si="76"/>
        <v/>
      </c>
      <c r="C97" s="7"/>
      <c r="D97" s="7">
        <f>IF(OR(I47="align",I47="full"),1,"")</f>
        <v>1.0</v>
      </c>
      <c r="E97" s="7">
        <f t="shared" si="77"/>
        <v>1.0</v>
      </c>
      <c r="F97" s="7" t="str">
        <f t="shared" si="78"/>
        <v/>
      </c>
      <c r="G97" s="138">
        <f t="shared" si="79"/>
        <v>1.0</v>
      </c>
      <c r="H97" s="7">
        <f t="shared" si="80"/>
        <v>1.0</v>
      </c>
      <c r="I97" s="7">
        <f t="shared" si="81"/>
        <v>4.0</v>
      </c>
      <c r="J97" s="7">
        <f t="shared" si="82"/>
        <v>2.0</v>
      </c>
      <c r="K97" s="7">
        <f t="shared" si="83"/>
        <v>66.66666666666666</v>
      </c>
      <c r="L97" s="7">
        <f>IF(AND(X75=1,X76=1),2,IF(OR(X75=1,X76=1),1))</f>
        <v>1.0</v>
      </c>
      <c r="M97" s="7">
        <f t="shared" si="84" ref="M97:M98">((L97+L99+M99)/5)*100</f>
        <v>60.0</v>
      </c>
      <c r="N97" s="7" t="str">
        <f>IF(AND(M96="under",M97&gt;70),L96,IF(AND(M96="check",M97&gt;70),L96+1,"over"))</f>
        <v>over</v>
      </c>
      <c r="O97" s="127">
        <f t="shared" si="85" ref="O97:O98">IF(N97="over",0,1)</f>
        <v>0.0</v>
      </c>
      <c r="P97" s="23">
        <f>(SUM(M95,O97,N89,M81)/8)*100</f>
        <v>50.0</v>
      </c>
      <c r="Q97" s="23">
        <f t="shared" si="86" ref="Q97:Q98">IF(B102="over",1,"")</f>
        <v>1.0</v>
      </c>
      <c r="R97" s="23" t="str">
        <f>IF(AND(Q97="",H46=""),"pure","over")</f>
        <v>over</v>
      </c>
      <c r="S97" s="23">
        <f>IF(H46=1,0,1)+IF(P97&gt;60,1,0)+IF(R97="over",0,1)</f>
        <v>1.0</v>
      </c>
      <c r="T97" s="149">
        <f t="shared" si="87" ref="T97:T98">(S97/3)*100</f>
        <v>33.33333333333333</v>
      </c>
      <c r="U97" s="7" t="str">
        <f>IF(AND(E47&lt;&gt;"align",E47&lt;&gt;"full",I47&lt;&gt;"align",I47&lt;&gt;"full"),3,"")</f>
        <v/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8:8" ht="74.55" hidden="1" customHeight="1">
      <c r="A98" s="3"/>
      <c r="B98" s="3" t="str">
        <f t="shared" si="76"/>
        <v/>
      </c>
      <c r="C98" s="3"/>
      <c r="D98" s="3">
        <f>IF(OR(M47="align",M47="full"),1,"")</f>
        <v>1.0</v>
      </c>
      <c r="E98" s="3">
        <f t="shared" si="77"/>
        <v>1.0</v>
      </c>
      <c r="F98" s="3" t="str">
        <f t="shared" si="78"/>
        <v/>
      </c>
      <c r="G98" s="141">
        <f t="shared" si="79"/>
        <v>1.0</v>
      </c>
      <c r="H98" s="3">
        <f t="shared" si="80"/>
        <v>1.0</v>
      </c>
      <c r="I98" s="3">
        <f t="shared" si="81"/>
        <v>4.0</v>
      </c>
      <c r="J98" s="3">
        <f t="shared" si="82"/>
        <v>2.0</v>
      </c>
      <c r="K98" s="3">
        <f t="shared" si="83"/>
        <v>66.66666666666666</v>
      </c>
      <c r="L98" s="3">
        <f>IF(AND(X78=1,X77=1),2,IF(OR(X78=1,X77=1),1))</f>
        <v>1.0</v>
      </c>
      <c r="M98" s="3">
        <f t="shared" si="84"/>
        <v>60.0</v>
      </c>
      <c r="N98" s="3" t="str">
        <f>IF(AND(N96="under",M98&gt;70),L96,IF(AND(N96="check",M98&gt;70),L96+1,"over"))</f>
        <v>over</v>
      </c>
      <c r="O98" s="123">
        <f t="shared" si="85"/>
        <v>0.0</v>
      </c>
      <c r="P98" s="3">
        <f>(SUM(N95,O98,N91,M83)/8)*100</f>
        <v>50.0</v>
      </c>
      <c r="Q98" s="3">
        <f t="shared" si="86"/>
        <v>1.0</v>
      </c>
      <c r="R98" s="3" t="str">
        <f>IF(AND(Q98="",P46=""),"pure","over")</f>
        <v>over</v>
      </c>
      <c r="S98" s="3">
        <f>IF(P46=1,0,1)+IF(P98&gt;60,1,0)+IF(R98="over",0,1)</f>
        <v>1.0</v>
      </c>
      <c r="T98" s="150">
        <f t="shared" si="87"/>
        <v>33.33333333333333</v>
      </c>
      <c r="U98" s="3" t="str">
        <f>IF(AND(M47&lt;&gt;"align",M47&lt;&gt;"full",Q47&lt;&gt;"align",Q47&lt;&gt;"full"),3,"")</f>
        <v/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8:8" ht="69.2" hidden="1" customHeight="1">
      <c r="A99" s="7"/>
      <c r="B99" s="7" t="str">
        <f t="shared" si="76"/>
        <v/>
      </c>
      <c r="C99" s="7"/>
      <c r="D99" s="7">
        <f>IF(OR(Q47="align",Q47="full"),1,"")</f>
        <v>1.0</v>
      </c>
      <c r="E99" s="7">
        <f t="shared" si="77"/>
        <v>1.0</v>
      </c>
      <c r="F99" s="7" t="str">
        <f t="shared" si="78"/>
        <v/>
      </c>
      <c r="G99" s="138">
        <f t="shared" si="79"/>
        <v>1.0</v>
      </c>
      <c r="H99" s="7">
        <f t="shared" si="80"/>
        <v>1.0</v>
      </c>
      <c r="I99" s="7">
        <f t="shared" si="81"/>
        <v>4.0</v>
      </c>
      <c r="J99" s="7">
        <f t="shared" si="82"/>
        <v>2.0</v>
      </c>
      <c r="K99" s="7">
        <f t="shared" si="83"/>
        <v>66.66666666666666</v>
      </c>
      <c r="L99" s="7">
        <f>IF(AND(Y75="yes",Y76="yes"),2,IF(OR(Y75="yes",Y76="yes"),1))</f>
        <v>2.0</v>
      </c>
      <c r="M99" s="7">
        <f>IF(M96="under",1,0)</f>
        <v>0.0</v>
      </c>
      <c r="N99" s="7" t="str">
        <f>IF(AND(P97&gt;60,T97&gt;60,F62="under"),E48,IF(AND(R97="pure",N97&gt;1),E48,IF(AND(P97&gt;60,T97&gt;60),"+1","over")))</f>
        <v>over</v>
      </c>
      <c r="O99" s="7" t="str">
        <f>IF(G91+G92&gt;75,"yes","no")</f>
        <v>yes</v>
      </c>
      <c r="P99" s="7" t="str">
        <f>IF(AND(N99="over",B102="over"),"run",IF(AND(B102="over",N99="+1"),"+2",IF(AND(N99="over",B102&lt;&gt;"over"),1,E48)))</f>
        <v>run</v>
      </c>
      <c r="Q99" s="7" t="str">
        <f t="shared" si="88" ref="Q99:Q100">IF(N97&lt;&gt;"over","yes","no")</f>
        <v>no</v>
      </c>
      <c r="R99" s="128" t="str">
        <f t="shared" si="89" ref="R99:R100">IF(AND(T95&gt;50,Q99="yes",P97&gt;50),"GO","out")</f>
        <v>out</v>
      </c>
      <c r="S99" s="151">
        <f t="shared" si="90" ref="S99:S100">(IF(R99="GO",1)+IF(T95&gt;50,1)+IF(U95="valid",1)+IF(M84="yes",1))/4*100</f>
        <v>25.0</v>
      </c>
      <c r="T99" s="7" t="str">
        <f>IF(P99="+2","over1","")</f>
        <v/>
      </c>
      <c r="U99" s="7" t="str">
        <f>IF(AND(S99&lt;&gt;50,S99&lt;&gt;0),"under1","check1")</f>
        <v>under1</v>
      </c>
      <c r="V99" s="7">
        <f>IF(AND($C$46="settled",$C$47="high"),"D+", )</f>
        <v>0.0</v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8:8" ht="53.9" hidden="1" customHeight="1">
      <c r="A100" s="3" t="str">
        <f>_xlfn.TEXTJOIN(" and ", ,P97,_xlfn.IFERROR(P98,""))</f>
        <v>50 and 50</v>
      </c>
      <c r="B100" s="3" t="e">
        <f t="shared" si="76"/>
        <v>#N/A</v>
      </c>
      <c r="C100" s="3"/>
      <c r="D100" s="3" t="str">
        <f>IF(OR(U47="align",U47="full"),1,"")</f>
        <v/>
      </c>
      <c r="E100" s="3" t="e">
        <f t="shared" si="77"/>
        <v>#N/A</v>
      </c>
      <c r="F100" s="3" t="str">
        <f t="shared" si="78"/>
        <v/>
      </c>
      <c r="G100" s="141" t="e">
        <f t="shared" si="79"/>
        <v>#N/A</v>
      </c>
      <c r="H100" s="3" t="e">
        <f t="shared" si="80"/>
        <v>#N/A</v>
      </c>
      <c r="I100" s="3">
        <f t="shared" si="81"/>
        <v>0.0</v>
      </c>
      <c r="J100" s="3">
        <f t="shared" si="82"/>
        <v>2.0</v>
      </c>
      <c r="K100" s="3">
        <f t="shared" si="83"/>
        <v>0.0</v>
      </c>
      <c r="L100" s="3">
        <f>IF(AND(Y78="yes",Y77="yes"),2,IF(OR(Y78="yes",Y77="yes"),1))</f>
        <v>2.0</v>
      </c>
      <c r="M100" s="3">
        <f>IF(N96="under",1,0)</f>
        <v>0.0</v>
      </c>
      <c r="N100" s="3" t="str">
        <f>IF(AND(P98&gt;60,T98&gt;60,N62="under"),E48,IF(AND(R98="pure",N98&gt;1),E48,IF(AND(P98&gt;60,T98&gt;60),"+1","over")))</f>
        <v>over</v>
      </c>
      <c r="O100" s="3" t="str">
        <f>IF(G94+G93&gt;75,"yes","no")</f>
        <v>yes</v>
      </c>
      <c r="P100" s="3" t="str">
        <f>IF(AND(N100="over",B103="over"),"run",IF(AND(B103="over",N100="+1"),"+2",IF(AND(N100="over",B103&lt;&gt;"over"),1,E48)))</f>
        <v>run</v>
      </c>
      <c r="Q100" s="3" t="str">
        <f t="shared" si="88"/>
        <v>no</v>
      </c>
      <c r="R100" s="124" t="str">
        <f t="shared" si="89"/>
        <v>out</v>
      </c>
      <c r="S100" s="152">
        <f t="shared" si="90"/>
        <v>25.0</v>
      </c>
      <c r="T100" s="3" t="str">
        <f>IF(P100="+2","over2","")</f>
        <v/>
      </c>
      <c r="U100" s="3" t="str">
        <f>IF(AND(S100&lt;&gt;50,S100&lt;&gt;0),"under2","check2")</f>
        <v>under2</v>
      </c>
      <c r="V100" s="3" t="b">
        <f>IF(AND($C$46="settled",$C$47="high"),"D+")</f>
        <v>0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8:8" ht="85.2" hidden="1" customHeight="1">
      <c r="A101" s="7">
        <f>AVERAGE(K96,K97,G91,G92)</f>
        <v>77.08333333333333</v>
      </c>
      <c r="B101" s="7">
        <f>AVERAGE(K98,K99,G93,G94)</f>
        <v>77.08333333333333</v>
      </c>
      <c r="C101" s="7"/>
      <c r="D101" s="7"/>
      <c r="E101" s="7"/>
      <c r="F101" s="7"/>
      <c r="G101" s="7"/>
      <c r="H101" s="7"/>
      <c r="I101" s="38">
        <f t="shared" si="91" ref="I101:J101">AVERAGE(I6:I42)</f>
        <v>1.6104000000000003</v>
      </c>
      <c r="J101" s="38">
        <f t="shared" si="91"/>
        <v>1.1616</v>
      </c>
      <c r="K101" s="7"/>
      <c r="L101" s="7"/>
      <c r="M101" s="38">
        <f t="shared" si="92" ref="M101:N101">AVERAGE(M6:M42)</f>
        <v>1.1560000000000001</v>
      </c>
      <c r="N101" s="38">
        <f t="shared" si="92"/>
        <v>1.5944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8:8" ht="40.9" hidden="1" customHeight="1">
      <c r="A102" s="3" t="str">
        <f>_xlfn.TEXTJOIN(", ", ,IF(AND(OR(E47="align",E47="full"),E75="no, no",A101&gt;55),"under","check"),X75,X76,Y75,Y76,N97,M89)</f>
        <v>check, 1, 0, YES, YES, over, ok1</v>
      </c>
      <c r="B102" s="15" t="str">
        <f>J91</f>
        <v>over</v>
      </c>
      <c r="C102" s="15" t="str">
        <f>IF(AND(A64="success",A69="success",B54=""),"GOOD","CHECK")</f>
        <v>CHECK</v>
      </c>
      <c r="D102" s="15" t="str">
        <f>IF(D104&gt;E104,"Down","up")</f>
        <v>up</v>
      </c>
      <c r="E102" s="3"/>
      <c r="F102" s="3"/>
      <c r="G102" s="3"/>
      <c r="H102" s="3">
        <f>H69+I102</f>
        <v>-0.3177877423773493</v>
      </c>
      <c r="I102" s="3">
        <f>CORREL($J6:$J42,$N6:$N42)</f>
        <v>-0.07866465949227232</v>
      </c>
      <c r="J102" s="3">
        <f>1/3*100</f>
        <v>33.33333333333333</v>
      </c>
      <c r="K102" s="3">
        <f>J102-100</f>
        <v>-66.6666666666667</v>
      </c>
      <c r="L102" s="3">
        <f>SUM(L103,K103)</f>
        <v>1.0</v>
      </c>
      <c r="M102" s="31">
        <f>VLOOKUP(G48,$C$6:$O$42,11)</f>
        <v>0.67</v>
      </c>
      <c r="N102" s="31">
        <f>VLOOKUP(G48,$C$6:$O$42,12)</f>
        <v>2.0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8:8" ht="56.4" hidden="1" customHeight="1">
      <c r="A103" s="7" t="str">
        <f>_xlfn.TEXTJOIN(", ", ,IF(AND(OR(M47="align",M47="full"),E77="no, no",B101&gt;55),"under","check"),X77,X78,Y77,Y78,N98,M91)</f>
        <v>check, 0, 1, YES, YES, over, ok1</v>
      </c>
      <c r="B103" s="7" t="str">
        <f>J93</f>
        <v>over</v>
      </c>
      <c r="C103" s="7">
        <f>AVERAGE(A101,O92,P97)</f>
        <v>42.36111111111111</v>
      </c>
      <c r="D103" s="153" t="str">
        <f>IF(D104&gt;=70,"Excellent",IF(D104&gt;=60,"Good",IF(D104&gt;=50,"Fair",IF(D104&gt;=40,"Poor (Pass)","Fail"))))</f>
        <v>Fair</v>
      </c>
      <c r="E103" s="7">
        <f>ABS(D104-E104)</f>
        <v>0.0</v>
      </c>
      <c r="F103" s="7"/>
      <c r="G103" s="7"/>
      <c r="H103" s="7">
        <f>(H102*10)/((H102)*10+D46)</f>
        <v>-5.014931821593381</v>
      </c>
      <c r="I103" s="31">
        <f>VLOOKUP(F48,$C$6:$O$42,7)</f>
        <v>1.17</v>
      </c>
      <c r="J103" s="31">
        <f>VLOOKUP(F48,$C$6:$O$42,8)</f>
        <v>1.17</v>
      </c>
      <c r="K103" s="7">
        <f>H69/(H69+I102)</f>
        <v>0.7524616308238102</v>
      </c>
      <c r="L103" s="7">
        <f>I102/(I102+H69)</f>
        <v>0.24753836917618988</v>
      </c>
      <c r="M103" s="38">
        <f t="shared" si="93" ref="M103:N103">AVERAGE(M101,M102)</f>
        <v>0.913</v>
      </c>
      <c r="N103" s="38">
        <f t="shared" si="93"/>
        <v>1.7972000000000001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8:8" ht="68.4" hidden="1" customHeight="1">
      <c r="A104" s="3" t="str">
        <f>_xlfn.TEXTJOIN("and ", ,T97,_xlfn.IFERROR(T98,""))</f>
        <v>33.3333333333333and 33.3333333333333</v>
      </c>
      <c r="B104" s="3" t="str">
        <f>IF(D103="Excellent","A",IF(D103="Good","B",IF(D103="Fair","C",IF(D103="Poor (Pass)","P","F"))))</f>
        <v>C</v>
      </c>
      <c r="C104" s="154" t="s">
        <v>78</v>
      </c>
      <c r="D104" s="3">
        <f>ROUND((IF(A74&gt;60,1,0)+IF(B54="",1,0)+IF(A69="success",1,0)+IF(A64="success",1,0)+IF(A5="go/ go",1,0)+IF(OR(H54="run",H54="under"),1,0)+IF(C102="GOOD",1,0)+IF(Sheet2!AA15&lt;&gt;"no",1,0)+IF(OR(N84="chek1",N85="check2"),0,1)+IF(OR(V95="check1",V96="check2"),0,1))/10,2)*100</f>
        <v>50.0</v>
      </c>
      <c r="E104" s="3">
        <f>AVERAGE(D104,A74)</f>
        <v>50.0</v>
      </c>
      <c r="F104" s="3"/>
      <c r="G104" s="3"/>
      <c r="H104" s="3" t="str">
        <f>IF(H103&lt;0.4,"low",IF(H103&lt;0.75,"medium","high"))</f>
        <v>low</v>
      </c>
      <c r="I104" s="31">
        <f t="shared" si="94" ref="I104:J104">AVERAGE(I101,I103)</f>
        <v>1.3902</v>
      </c>
      <c r="J104" s="31">
        <f t="shared" si="94"/>
        <v>1.1658</v>
      </c>
      <c r="K104" s="3"/>
      <c r="L104" s="3" t="str">
        <f>IF(I103=MAX(I103,M102),"H","A")</f>
        <v>H</v>
      </c>
      <c r="M104" s="3">
        <f>AVERAGE(I102,H69)</f>
        <v>-0.15889387118867487</v>
      </c>
      <c r="N104" s="38">
        <f>AVERAGE(M103,N103)</f>
        <v>1.3551000000000002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8:8" ht="41.4" hidden="1" customHeight="1">
      <c r="A105" s="144" t="str">
        <f>IF(OR(O89="hold1",O90="hold2",T99="over1",T100="over2",A74&lt;70),"",_xlfn.TEXTJOIN(" '", ,D103,D102))</f>
        <v/>
      </c>
      <c r="B105" s="7">
        <f>100-(ROUND((IF(OR(O89="hold1",O90="hold2"),2,0)+IF(OR(T99="over1",T100="over2"),1,0)+IF(A74&lt;70,1,0))/4,2)*100)</f>
        <v>75.0</v>
      </c>
      <c r="C105" s="7" t="str">
        <f>IF(A74&gt;E104,"go","off")</f>
        <v>off</v>
      </c>
      <c r="D105" s="7" t="str">
        <f>IF(AND(A106="Ex",D103&lt;&gt;"Fail",AND(B54,T99&lt;&gt;"over1",B54,T100&lt;&gt;"over2")),"perfect",IF(AND(A106="Ex",D103&lt;&gt;"Fail"),L96+1,"Don't choose"))</f>
        <v>perfect</v>
      </c>
      <c r="E105" s="7"/>
      <c r="F105" s="7"/>
      <c r="G105" s="7"/>
      <c r="H105" s="7"/>
      <c r="I105" s="38">
        <f>I104*N103</f>
        <v>2.49846744</v>
      </c>
      <c r="J105" s="38">
        <f>AVERAGE(I104,J104)</f>
        <v>1.278</v>
      </c>
      <c r="K105" s="7"/>
      <c r="L105" s="7" t="str">
        <f>_xlfn.TEXTJOIN(". ", ,IF(I103=MAX(I103,M102),"H","A"),I106)</f>
        <v>H. 1.78142142</v>
      </c>
      <c r="M105" s="38">
        <f>J104*M103</f>
        <v>1.0643754</v>
      </c>
      <c r="N105" s="7">
        <f>(J105-N104)*1000</f>
        <v>-77.10000000000016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8:8" ht="18.8" hidden="1" customHeight="1">
      <c r="A106" s="3" t="str">
        <f>IF(AND(B108&gt;59,OR(B108&gt;B107,B108=B107, ,B107&gt;80)),"Ex","check")</f>
        <v>Ex</v>
      </c>
      <c r="B106" s="3" t="str">
        <f>_xlfn.TEXTJOIN("'", ,D103,D102,B112,B107)</f>
        <v>Fair'up'Dan'50</v>
      </c>
      <c r="C106" s="145" t="str">
        <f>IF(AND(B105&gt;60,B70&lt;&gt;"",A74&gt;70),B106,"")</f>
        <v/>
      </c>
      <c r="D106" s="3"/>
      <c r="E106" s="3"/>
      <c r="F106" s="3"/>
      <c r="G106" s="3"/>
      <c r="H106" s="3"/>
      <c r="I106" s="31">
        <f>AVERAGE(I105,M105)</f>
        <v>1.78142142</v>
      </c>
      <c r="J106" s="155">
        <f>ROUND(I105/(I105+M105)*100,2)</f>
        <v>70.13</v>
      </c>
      <c r="K106" s="155">
        <f>100-J106</f>
        <v>29.870000000000005</v>
      </c>
      <c r="L106" s="155">
        <f>MAX(K106,J106)</f>
        <v>70.13</v>
      </c>
      <c r="M106" s="155" t="str">
        <f>IF(L106&gt;69,"F",IF(L106&gt;59,"D",IF(L106&gt;49,"C",IF(L106&gt;39,"B","A"))))</f>
        <v>F</v>
      </c>
      <c r="N106" s="155" t="str">
        <f>IF(L106=J106,"H","Aw")</f>
        <v>H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8:8" ht="45.2" hidden="1" customHeight="1">
      <c r="A107" s="7"/>
      <c r="B107" s="7">
        <f>(ROUND((IF(C105="go",1,0)+IF(OR(D103="fair",D103="good",D103="excellent"),1,0)+IF(D102="up",1,0)+IF(B112="save",1,0))/4,2)*100)</f>
        <v>50.0</v>
      </c>
      <c r="C107" s="7"/>
      <c r="D107" s="7"/>
      <c r="E107" s="7"/>
      <c r="F107" s="7"/>
      <c r="G107" s="7"/>
      <c r="H107" s="7"/>
      <c r="I107" s="156">
        <f>(I106/(D46+I106))*100</f>
        <v>31.851013385718225</v>
      </c>
      <c r="J107" s="157">
        <f>MAX(M105,I105)-MIN(I105,M105)</f>
        <v>1.4340920400000001</v>
      </c>
      <c r="K107" s="158">
        <f>SUM(I105,M105)</f>
        <v>3.56284284</v>
      </c>
      <c r="L107" s="158">
        <f>IF(L104="A",1,0)+IF(N106="Aw",1,0)+IF(Sheet2!P72="A",1,0)</f>
        <v>0.0</v>
      </c>
      <c r="M107" s="158">
        <f>IF(L104="H",1,0)+IF(N106="H",1,0)+IF(Sheet2!P72="H",1,0)</f>
        <v>3.0</v>
      </c>
      <c r="N107" s="159"/>
      <c r="O107" s="15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8:8" ht="50.05" hidden="1" customHeight="1">
      <c r="A108" s="3"/>
      <c r="B108" s="3">
        <f>100-(ROUND(((IF(D103="Fail",1,0)+IF(B110="Dan",1,0)+IF(D102="down",1,0)+IF(B107&lt;60,1,0)+IF(OR(N84="check1",N85="check2"),1,0)+IF(OR(V95="check1",V96="check2"),1,0))/5)*100,2))</f>
        <v>60.0</v>
      </c>
      <c r="C108" s="160"/>
      <c r="D108" s="3"/>
      <c r="E108" s="3"/>
      <c r="F108" s="3"/>
      <c r="G108" s="3"/>
      <c r="H108" s="3"/>
      <c r="I108" s="155"/>
      <c r="J108" s="161">
        <f>J107/K107</f>
        <v>0.4025134153826443</v>
      </c>
      <c r="K108" s="162">
        <f>J108*100</f>
        <v>40.25134153826443</v>
      </c>
      <c r="L108" s="162">
        <f>IF(N106="H",M107/(L107+M107)*100,L107/(L107+M107)*100)</f>
        <v>100.0</v>
      </c>
      <c r="M108" s="162" t="str">
        <f>IF(AND(N84="check1",N84=V95,V96="check2",N85=V96),"not set","set")</f>
        <v>set</v>
      </c>
      <c r="N108" s="163"/>
      <c r="O108" s="155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8:8" ht="26.9" hidden="1" customHeight="1">
      <c r="A109" s="7">
        <f>ROW()</f>
        <v>109.0</v>
      </c>
      <c r="B109" s="164" t="str">
        <f>IF(AND(OR(H75="over3",H75="u2.5",H75="over"),OR(H76="over3",H76="u2.5",H76="over")),"Dan","save")</f>
        <v>Dan</v>
      </c>
      <c r="C109"/>
      <c r="D109" s="164"/>
      <c r="E109" s="7"/>
      <c r="F109" s="7"/>
      <c r="G109" s="7"/>
      <c r="H109" s="7"/>
      <c r="I109" s="156"/>
      <c r="J109" s="165">
        <f>AVERAGE(I102,J108)</f>
        <v>0.161924377945186</v>
      </c>
      <c r="K109" s="166">
        <f>AVERAGE(J107,K107,J108,J109)</f>
        <v>1.3903431683319578</v>
      </c>
      <c r="L109" s="166" t="str">
        <f>IF(AND(J110&gt;0.6,L108&lt;40),"handicap",IF(AND(J110&gt;0.6,L108&gt;40),N106,"undefined"))</f>
        <v>H</v>
      </c>
      <c r="M109" s="166" t="str">
        <f>IF(Sheet2!M74="low",_xlfn.TEXTJOIN(" / ", ,Sheet2!O73,Sheet2!M74),Sheet2!M74)</f>
        <v> Monterey Bay  / low</v>
      </c>
      <c r="N109" s="167" t="str">
        <f>IF(AND(Sheet2!M74="low",Sheet2!L77="handicap",Sheet2!N73="one"),"yes","no")</f>
        <v>no</v>
      </c>
      <c r="O109" s="15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8:8" ht="30.15" hidden="1" customHeight="1">
      <c r="A110" s="3"/>
      <c r="B110" s="3" t="str">
        <f>IF(AND(G75="over",G76="over"),"Dan","save")</f>
        <v>save</v>
      </c>
      <c r="C110" s="160"/>
      <c r="D110" s="3"/>
      <c r="E110" s="3"/>
      <c r="F110" s="3"/>
      <c r="G110" s="3"/>
      <c r="H110" s="3"/>
      <c r="I110" s="155"/>
      <c r="J110" s="168">
        <f>AVERAGE(J109,K109)</f>
        <v>0.7761337731385719</v>
      </c>
      <c r="K110" s="169">
        <f>J109/SUM(J109,K109)*100</f>
        <v>10.431473513282858</v>
      </c>
      <c r="L110" s="169" t="str">
        <f>IF(L109="Aw",Sheet2!M4,IF(L109="H",Sheet2!L5,IF(L109="handicap",_xlfn.TEXTJOIN(" /", ,L109,N106),M109)))</f>
        <v> Monterey Bay </v>
      </c>
      <c r="M110" s="169" t="str">
        <f>IF(AND(M109=L110,OR(Sheet2!L5=M109,Sheet2!M4=M109)),"set",IF(OR(L110=Sheet2!L5,L110=Sheet2!M4),"set1","not"))</f>
        <v>set1</v>
      </c>
      <c r="N110" s="170" t="str">
        <f>Sheet2!O73</f>
        <v> Monterey Bay </v>
      </c>
      <c r="O110" s="155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8:8" ht="65.1" hidden="1" customHeight="1">
      <c r="A111" s="7"/>
      <c r="B111" s="7"/>
      <c r="C111" s="7"/>
      <c r="D111" s="7"/>
      <c r="E111" s="7"/>
      <c r="F111" s="7"/>
      <c r="G111" s="7"/>
      <c r="H111" s="7"/>
      <c r="I111" s="7"/>
      <c r="J111" s="156" t="str">
        <f>L110</f>
        <v> Monterey Bay </v>
      </c>
      <c r="K111" s="156"/>
      <c r="L111" s="156">
        <f>IF(AND(J111=N110,D64&lt;&gt;"one",M110="set1",C74&lt;&gt;"no"),1,IF(AND(J111=N110,D64&lt;&gt;"one",M110="set1"),"Handicap",0))</f>
        <v>1.0</v>
      </c>
      <c r="M111" s="156" t="str">
        <f>IF(AND(L111=1,B85="under"),"UNDER",L111)</f>
        <v>UNDER</v>
      </c>
      <c r="N111" s="171" t="str">
        <f>IF(M114=O114,N114,I114)</f>
        <v>Away G</v>
      </c>
      <c r="O111" s="7" t="str">
        <f>IF(AND(M110&lt;&gt;"not",OR(N111="Home G",N111="Away G")),N111,"2handi")</f>
        <v>Away G</v>
      </c>
      <c r="P111" s="7" t="str">
        <f>IF(OR(N111="Home C",N111="Home G"),"Home","Away")</f>
        <v>Away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8:8" ht="45.2" hidden="1" customHeight="1">
      <c r="A112" s="3"/>
      <c r="B112" s="3" t="str">
        <f>IF(AND(B109="save",B110="save"),"save","Dan")</f>
        <v>Dan</v>
      </c>
      <c r="C112" s="3"/>
      <c r="D112" s="3"/>
      <c r="E112" s="3"/>
      <c r="F112" s="3"/>
      <c r="G112" s="3"/>
      <c r="H112" s="3"/>
      <c r="I112" s="3">
        <f>I103/M104</f>
        <v>-7.3634054683626555</v>
      </c>
      <c r="J112" s="3">
        <f>J103/M104</f>
        <v>-7.3634054683626555</v>
      </c>
      <c r="K112" s="3">
        <f>IF(I112&gt;J112,I112/J112,J112/I112)</f>
        <v>1.0</v>
      </c>
      <c r="L112" s="172"/>
      <c r="M112" s="172">
        <f>M102/M104</f>
        <v>-4.216650994703401</v>
      </c>
      <c r="N112" s="3">
        <f>N102/M104</f>
        <v>-12.587017894637018</v>
      </c>
      <c r="O112" s="3">
        <f>IF(M112&gt;N112,M112/N112,N112/M112)</f>
        <v>0.335</v>
      </c>
      <c r="P112" s="3" t="str">
        <f>IF(P111=Sheet2!P73,"match","not match")</f>
        <v>not match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8:8" ht="46.8" hidden="1" customHeight="1">
      <c r="A113" s="173" t="str">
        <f>IF(AND(A74&gt;50,A114&gt;75%,M106&lt;&gt;"F"),"yes","no")</f>
        <v>no</v>
      </c>
      <c r="B113" s="174" t="str">
        <f>_xlfn.TEXTJOIN("/ ", ,D105,D64,Sheet2!M74)</f>
        <v>perfect/ both/ low</v>
      </c>
      <c r="C113" s="7"/>
      <c r="D113" s="7"/>
      <c r="E113" s="7"/>
      <c r="F113" s="7"/>
      <c r="G113" s="7"/>
      <c r="H113" s="7"/>
      <c r="I113" s="175">
        <f>AVERAGE(I112,M112)</f>
        <v>-5.790028231533029</v>
      </c>
      <c r="J113" s="7">
        <f>AVERAGE(I112,J112)</f>
        <v>-7.3634054683626555</v>
      </c>
      <c r="K113" s="176" t="str">
        <f>IF(L114&gt;K114,"sus","Nsus")</f>
        <v>sus</v>
      </c>
      <c r="L113" s="177">
        <f>J113/N113</f>
        <v>0.8764044943820225</v>
      </c>
      <c r="M113" s="178">
        <f>IF(O113&gt;I113,O113/I113,I113/O113)</f>
        <v>0.580441640378549</v>
      </c>
      <c r="N113" s="176">
        <f>AVERAGE(M112,N112)</f>
        <v>-8.40183444467021</v>
      </c>
      <c r="O113" s="175">
        <f>AVERAGE(N112,J112)</f>
        <v>-9.975211681499836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8:8" ht="16.15" hidden="1" customHeight="1">
      <c r="A114" s="179">
        <f>S81</f>
        <v>0.75</v>
      </c>
      <c r="B114" s="3">
        <f>RANDBETWEEN(1,25)-RANDBETWEEN(1,5)</f>
        <v>10.0</v>
      </c>
      <c r="C114" s="3" t="str">
        <f>IF(C46="settled",D114,E48)</f>
        <v>4goals</v>
      </c>
      <c r="D114" s="3" t="str">
        <f>IF($D46&gt;4.9,"6 goals",IF($D46&gt;4.45,"6 goals",IF($D46&gt;3.45,"5goals",IF($D46&gt;2.45,"4goals","3goals or less"))))</f>
        <v>5goals</v>
      </c>
      <c r="E114" s="3" t="str">
        <f>IF(A43=A46,"yes","no")</f>
        <v>yes</v>
      </c>
      <c r="F114" s="3" t="str">
        <f>IF(AND(D105="don't choose",A113="yes",B74=""),"nope",IF(A113="no","nope","ok"))</f>
        <v>nope</v>
      </c>
      <c r="G114" s="3"/>
      <c r="H114" s="3"/>
      <c r="I114" s="180" t="str">
        <f>IF(I112&gt;J112,"Home G","Home C")</f>
        <v>Home C</v>
      </c>
      <c r="J114" s="3">
        <f>IF(I114="Home G",I112,J112)</f>
        <v>-7.3634054683626555</v>
      </c>
      <c r="K114" s="181">
        <f>IF(J114&gt;O114,J114/O114,O114/J114)</f>
        <v>0.5726495726495726</v>
      </c>
      <c r="L114" s="182">
        <f>AVERAGE(L113,M113)</f>
        <v>0.7284230673802857</v>
      </c>
      <c r="M114" s="183">
        <f>IF(AND(N114="Away G",I114="Home G"),MAX(J114,O114),IF(AND(N114="Away C",I114="Home C"),MIN(J114,O114),IF(AND(N114="Away G",I114="Home C"),O114,J114)))</f>
        <v>-4.216650994703401</v>
      </c>
      <c r="N114" s="3" t="str">
        <f>IF(M112&gt;N112,"Away G","Away C")</f>
        <v>Away G</v>
      </c>
      <c r="O114" s="3">
        <f>IF(N114="Away G",M112,N112)</f>
        <v>-4.216650994703401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8:8" ht="27.95" hidden="1" customHeight="1">
      <c r="A115" s="7" t="str">
        <f>N106</f>
        <v>H</v>
      </c>
      <c r="B115" s="38">
        <f>Sheet2!AA18+X83</f>
        <v>8.0</v>
      </c>
      <c r="C115" s="7" t="str">
        <f>IF(C114="6 goals","u6.5",IF(C114="5goals","u5.5",IF(C114="4goals","u4.5",IF(C114="3goals","u3.5",IF(C114="3goals or less","u3.5",IF(C114="2goals or less","u2.5"))))))</f>
        <v>u4.5</v>
      </c>
      <c r="D115" s="7"/>
      <c r="E115" s="7"/>
      <c r="F115" s="7"/>
      <c r="G115" s="7"/>
      <c r="H115" s="7"/>
      <c r="I115" s="7"/>
      <c r="J115" s="7"/>
      <c r="K115" s="7"/>
      <c r="L115" s="176" t="str">
        <f>IF(AND(L10&lt;&gt;"D'over",Sheet2!O73=Sheet2!N72,Sheet2!AM72=Sheet2!N72,K113="sus"),B46,K113)</f>
        <v>4goals, Go1, Go2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8:8" ht="21.5" hidden="1" customHeight="1">
      <c r="A116" s="16" t="str">
        <f>M106</f>
        <v>F</v>
      </c>
      <c r="B116" s="16" t="str">
        <f>_xlfn.TEXTJOIN(" @", ,B84,C116,M111)</f>
        <v>set1/ set @NO @UNDER</v>
      </c>
      <c r="C116" s="16" t="str">
        <f>IF(AND(Sheet2!S3&lt;&gt;"F",A116&lt;&gt;"F",B84="set1/ set",L110=Sheet2!O73,C74&lt;&gt;"no"),"YES","NO")</f>
        <v>NO</v>
      </c>
      <c r="D116" s="16" t="str">
        <f>IF(Sheet2!L77&lt;&gt;"handicap","no",Sheet2!L77)</f>
        <v>handicap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8:8" ht="30.65" customHeight="1">
      <c r="A117" s="7"/>
      <c r="B117" s="4" t="str">
        <f>IF(AND(M106&lt;&gt;"F",M108="set",A74&gt;49,Sheet2!S3&lt;&gt;"F"),"YES","No")</f>
        <v>No</v>
      </c>
      <c r="C117" s="7">
        <f>IF(OR(M110="set1",M110="set"),Sheet2!Q74,"")</f>
        <v>-25.0</v>
      </c>
      <c r="D117" s="7" t="str">
        <f>_xlfn.TEXTJOIN("/ ", ,A10,B10)</f>
        <v>no/ 30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8:8" ht="15.75" customHeight="1">
      <c r="A118" s="3"/>
      <c r="B118" s="180" t="str">
        <f>_xlfn.TEXTJOIN("/ ", ,L115,N111,O111)</f>
        <v>4goals, Go1, Go2/ Away G/ Away G</v>
      </c>
      <c r="C118" s="184" t="str">
        <f>_xlfn.TEXTJOIN("/ ", ,Sheet2!R13,N109)</f>
        <v>+1/ no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8:8" ht="15.75" customHeight="1">
      <c r="A119" s="7"/>
      <c r="B119" s="185" t="str">
        <f>IF(AND(M110&lt;&gt;"not",L110=Sheet2!O73,D64="both"),"double","run")</f>
        <v>double</v>
      </c>
      <c r="C119" s="7" t="str">
        <f>IF(AND(M110&lt;&gt;"not",L110&lt;&gt;Sheet2!O73,D64="one"),"under","run")</f>
        <v>run</v>
      </c>
      <c r="D119" s="7" t="str">
        <f>IF(AND(M110&lt;&gt;"not",L115=B46,C117&lt;&gt;"",Sheet2!L77="handicap",Sheet2!M74="low"),"under","run")</f>
        <v>under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8:8" ht="15.75" customHeight="1">
      <c r="A120" s="186"/>
      <c r="B120" s="187" t="str">
        <f>_xlfn.TEXTJOIN(" /", ,IF(B119&lt;&gt;"run",B119,""),IF(C119&lt;&gt;"run",C119,""),IF(D119&lt;&gt;"run",D119,""))</f>
        <v>double /under</v>
      </c>
      <c r="C120" s="186" t="str">
        <f>P112</f>
        <v>not match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8:8" ht="15.75" customHeight="1">
      <c r="A121" s="7"/>
      <c r="B121" s="18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8:8" ht="30.55" customHeight="1">
      <c r="A122" s="3"/>
      <c r="B122" s="18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8:8" ht="15.0">
      <c r="A123" s="7"/>
      <c r="B123" s="7"/>
      <c r="C123" s="15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8:8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8:8" ht="15.75" customHeight="1">
      <c r="A125" s="7"/>
      <c r="B125" s="7"/>
      <c r="C125" s="18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8:8" ht="13.95">
      <c r="A126" s="18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8:8" ht="13.95">
      <c r="A127" s="7"/>
      <c r="B127" s="107"/>
      <c r="C127" s="190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8:8" ht="13.9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8:8" ht="27.4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8:8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8:8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8:8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8:8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spans="8:8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8:8" ht="14.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spans="8:8" ht="15.75" customHeight="1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</row>
    <row r="137" spans="8:8" ht="13.9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spans="8: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8:8" ht="17.1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8:8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8:8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8:8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8:8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spans="8:8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8:8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8:8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8:8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8: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8:8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spans="8:8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8:8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spans="8:8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spans="8:8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8:8" ht="13.9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8:8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spans="8:8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8:8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spans="8: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8:8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spans="8:8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8:8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spans="8:8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8:8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8:8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spans="8:8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8:8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8:8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spans="8: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spans="8:8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spans="8:8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8:8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spans="8:8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spans="8:8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8:8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spans="8:8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8:8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spans="8:8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spans="8: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spans="8:8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8:8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spans="8:8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8:8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spans="8:8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spans="8:8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8:8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spans="8:8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8:8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spans="8: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8:8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spans="8:8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8:8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spans="8:8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8:8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spans="8:8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8:8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spans="8:8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8:8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8: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8:8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8:8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8:8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spans="8:8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8:8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</row>
    <row r="204" spans="8:8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8:8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spans="8:8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spans="8:8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8: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spans="8:8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spans="8:8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spans="8:8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8:8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8:8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8:8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8:8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8:8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8:8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spans="8: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8:8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spans="8:8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spans="8:8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spans="8:8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8:8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8:8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8:8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spans="8:8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8:8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spans="8: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8:8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</row>
    <row r="230" spans="8:8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spans="8:8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8:8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spans="8:8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8:8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8:8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</row>
    <row r="236" spans="8:8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8:8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spans="8: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spans="8:8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spans="8:8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spans="8:8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8:8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spans="8:8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8:8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spans="8:8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spans="8:8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spans="8:8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8: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spans="8:8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8:8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spans="8:8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spans="8:8" ht="33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spans="8:8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spans="8:8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spans="8:8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spans="8:8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8:8" ht="23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spans="8: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spans="8:8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8:8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spans="8:8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spans="8:8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spans="8:8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8:8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spans="8:8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8:8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spans="8:8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8: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spans="8:8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8:8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spans="8:8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8:8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spans="8:8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8:8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spans="8:8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8:8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spans="8:8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8: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spans="8:8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spans="8:8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spans="8:8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8:8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spans="8:8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8:8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spans="8:8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8:8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</sheetData>
  <mergeCells count="12">
    <mergeCell ref="R64:T64"/>
    <mergeCell ref="V64:W64"/>
    <mergeCell ref="J64:K64"/>
    <mergeCell ref="F64:G64"/>
    <mergeCell ref="N64:O64"/>
    <mergeCell ref="C43:O43"/>
    <mergeCell ref="E4:G4"/>
    <mergeCell ref="D4:D5"/>
    <mergeCell ref="C4:C5"/>
    <mergeCell ref="C3:P3"/>
    <mergeCell ref="M4:O4"/>
    <mergeCell ref="I4:K4"/>
  </mergeCells>
  <conditionalFormatting sqref="P4:U42">
    <cfRule type="expression" priority="1" dxfId="0">
      <formula>$V$40=""</formula>
    </cfRule>
  </conditionalFormatting>
  <dataValidations count="3">
    <dataValidation allowBlank="1" type="list" errorStyle="stop" showErrorMessage="1" sqref="V48:W48">
      <formula1>$C$6:$C$42</formula1>
    </dataValidation>
    <dataValidation allowBlank="1" type="list" errorStyle="stop" sqref="B127:C127">
      <formula1>$C$6:$C$42</formula1>
    </dataValidation>
    <dataValidation allowBlank="1" type="list" errorStyle="stop" sqref="B69:C69">
      <formula1>$C$6:$C$42</formula1>
    </dataValidation>
  </dataValidations>
  <hyperlinks>
    <hyperlink ref="C104" location="Sheet2!CU24" display="Sheet2!CU24"/>
  </hyperlinks>
  <pageMargins left="0.7" right="0.7" top="0.75" bottom="0.75" header="0.0" footer="0.0"/>
  <pageSetup paperSize="9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XI77"/>
  <sheetViews>
    <sheetView workbookViewId="0" topLeftCell="L43" zoomScale="58">
      <selection activeCell="P73" sqref="P73"/>
    </sheetView>
  </sheetViews>
  <sheetFormatPr defaultRowHeight="15.0" customHeight="1" defaultColWidth="14"/>
  <cols>
    <col min="1" max="2" customWidth="1" width="10.0" style="0"/>
    <col min="3" max="4" customWidth="1" width="11.136719" style="0"/>
    <col min="5" max="5" customWidth="1" width="17.429688" style="0"/>
    <col min="6" max="6" customWidth="1" width="12.136719" style="0"/>
    <col min="7" max="7" customWidth="1" width="12.4296875" style="0"/>
    <col min="8" max="9" customWidth="1" width="12.136719" style="0"/>
    <col min="10" max="10" customWidth="1" width="10.0" style="0"/>
    <col min="11" max="11" customWidth="1" width="12.0" style="0"/>
    <col min="12" max="12" customWidth="1" width="16.429688" style="0"/>
    <col min="13" max="13" customWidth="1" width="15.0" style="0"/>
    <col min="14" max="14" customWidth="1" width="10.136719" style="0"/>
    <col min="15" max="15" customWidth="1" width="11.859375" style="0"/>
    <col min="16" max="16" customWidth="1" width="10.0" style="0"/>
    <col min="17" max="17" customWidth="1" width="12.136719" style="0"/>
    <col min="18" max="18" customWidth="1" width="11.4296875" style="0"/>
    <col min="19" max="22" customWidth="1" width="12.136719" style="0"/>
    <col min="23" max="23" customWidth="1" width="11.566406" style="0"/>
    <col min="24" max="25" customWidth="1" width="12.136719" style="0"/>
    <col min="26" max="26" customWidth="1" width="11.707031" style="0"/>
    <col min="27" max="29" customWidth="1" width="11.136719" style="0"/>
    <col min="30" max="31" customWidth="1" width="10.0" style="0"/>
    <col min="32" max="32" customWidth="1" width="5.1367188" style="0"/>
    <col min="33" max="36" customWidth="1" width="10.0" style="0"/>
    <col min="37" max="37" customWidth="1" width="10.859375" style="0"/>
    <col min="38" max="40" customWidth="1" width="10.0" style="0"/>
    <col min="41" max="41" customWidth="1" width="10.566406" style="0"/>
    <col min="42" max="42" customWidth="1" width="12.0" style="0"/>
    <col min="43" max="43" customWidth="1" width="11.0" style="0"/>
    <col min="44" max="44" customWidth="1" width="12.2890625" style="0"/>
    <col min="45" max="45" customWidth="1" width="10.0" style="0"/>
    <col min="46" max="46" customWidth="1" width="11.707031" style="0"/>
    <col min="47" max="49" customWidth="1" width="11.4296875" style="0"/>
    <col min="50" max="50" customWidth="1" width="14.2890625" style="0"/>
    <col min="51" max="51" customWidth="1" width="12.2890625" style="0"/>
    <col min="52" max="52" customWidth="1" width="10.859375" style="0"/>
    <col min="53" max="53" customWidth="1" width="11.136719" style="0"/>
    <col min="54" max="54" customWidth="1" width="10.859375" style="0"/>
    <col min="55" max="63" customWidth="1" width="10.0" style="0"/>
    <col min="64" max="64" customWidth="1" width="10.707031" style="0"/>
    <col min="65" max="67" customWidth="1" width="10.0" style="0"/>
    <col min="68" max="68" customWidth="1" width="11.859375" style="0"/>
    <col min="69" max="69" customWidth="1" width="12.0" style="0"/>
    <col min="70" max="70" customWidth="1" width="10.0" style="0"/>
    <col min="71" max="71" customWidth="1" width="11.707031" style="0"/>
    <col min="72" max="72" customWidth="1" width="10.707031" style="0"/>
    <col min="73" max="74" customWidth="1" width="11.136719" style="0"/>
    <col min="75" max="76" customWidth="1" width="11.707031" style="0"/>
    <col min="77" max="77" customWidth="1" width="10.0" style="0"/>
    <col min="78" max="78" customWidth="1" width="13.136719" style="0"/>
    <col min="79" max="79" customWidth="1" width="14.2890625" style="0"/>
    <col min="80" max="91" customWidth="1" width="10.0" style="0"/>
    <col min="92" max="92" customWidth="1" width="11.707031" style="0"/>
    <col min="93" max="93" customWidth="1" width="10.0" style="0"/>
    <col min="94" max="94" customWidth="1" width="12.0" style="0"/>
    <col min="95" max="95" customWidth="1" width="10.0" style="0"/>
    <col min="96" max="97" customWidth="1" width="10.707031" style="0"/>
    <col min="98" max="99" customWidth="1" width="11.136719" style="0"/>
    <col min="100" max="101" customWidth="1" width="11.707031" style="0"/>
    <col min="102" max="102" customWidth="1" width="12.136719" style="0"/>
    <col min="103" max="103" customWidth="1" width="11.136719" style="0"/>
    <col min="104" max="114" customWidth="1" width="10.0" style="0"/>
    <col min="115" max="115" customWidth="1" width="13.859375" style="0"/>
    <col min="116" max="116" customWidth="1" width="10.0" style="0"/>
    <col min="117" max="117" customWidth="1" width="11.136719" style="0"/>
    <col min="118" max="118" customWidth="1" width="11.2890625" style="0"/>
    <col min="119" max="119" customWidth="1" width="12.0" style="0"/>
    <col min="120" max="120" customWidth="1" width="10.0" style="0"/>
    <col min="121" max="122" customWidth="1" width="10.707031" style="0"/>
    <col min="123" max="124" customWidth="1" width="11.136719" style="0"/>
    <col min="125" max="126" customWidth="1" width="11.707031" style="0"/>
    <col min="127" max="127" customWidth="1" width="12.136719" style="0"/>
    <col min="128" max="129" customWidth="1" width="10.0" style="0"/>
  </cols>
  <sheetData>
    <row r="1" spans="8:8" ht="15.0">
      <c r="A1"/>
      <c r="Q1">
        <f>AVERAGE(N8:O11,N7,P9,P10,P11,Q10,Q11,R11)</f>
        <v>0.03242181275168619</v>
      </c>
      <c r="R1">
        <f>AVERAGE(N6,O7,P8,Q9,R10,S11)</f>
        <v>0.047360830148115284</v>
      </c>
      <c r="S1">
        <f>AVERAGE(R6:S9,S10,Q6,Q7,Q8,P7,P6,O6)</f>
        <v>0.015126797620067004</v>
      </c>
      <c r="U1" s="192">
        <v>0.0</v>
      </c>
      <c r="V1" s="192">
        <f t="shared" si="0" ref="V1:Y1">U1+1</f>
        <v>1.0</v>
      </c>
      <c r="W1" s="192">
        <f t="shared" si="0"/>
        <v>2.0</v>
      </c>
      <c r="X1" s="192">
        <f t="shared" si="0"/>
        <v>3.0</v>
      </c>
      <c r="Y1" s="192">
        <f t="shared" si="0"/>
        <v>4.0</v>
      </c>
      <c r="AP1">
        <f>AVERAGE(AM8:AN11,AM7,AO9,AO10,AO11,AP10,AP11,AQ11)</f>
        <v>0.024571382966905874</v>
      </c>
      <c r="AQ1">
        <f>AVERAGE(AM6,AN7,AO8,AP9,AQ10,AR11)</f>
        <v>0.03212198117777799</v>
      </c>
      <c r="AR1">
        <f>AVERAGE(AQ6:AR9,AR10,AP6,AP7,AP8,AO7,AO6,AN6)</f>
        <v>0.02550174594782828</v>
      </c>
      <c r="AT1" s="192">
        <v>0.0</v>
      </c>
      <c r="AU1" s="192">
        <f t="shared" si="1" ref="AU1:AX1">AT1+1</f>
        <v>1.0</v>
      </c>
      <c r="AV1" s="192">
        <f t="shared" si="1"/>
        <v>2.0</v>
      </c>
      <c r="AW1" s="192">
        <f t="shared" si="1"/>
        <v>3.0</v>
      </c>
      <c r="AX1" s="192">
        <f t="shared" si="1"/>
        <v>4.0</v>
      </c>
      <c r="BS1" s="192">
        <v>0.0</v>
      </c>
      <c r="BT1" s="192">
        <f t="shared" si="2" ref="BT1:BW1">BS1+1</f>
        <v>1.0</v>
      </c>
      <c r="BU1" s="192">
        <f t="shared" si="2"/>
        <v>2.0</v>
      </c>
      <c r="BV1" s="192">
        <f t="shared" si="2"/>
        <v>3.0</v>
      </c>
      <c r="BW1" s="192">
        <f t="shared" si="2"/>
        <v>4.0</v>
      </c>
      <c r="CR1" s="192">
        <v>0.0</v>
      </c>
      <c r="CS1" s="192">
        <f t="shared" si="3" ref="CS1:CV1">CR1+1</f>
        <v>1.0</v>
      </c>
      <c r="CT1" s="192">
        <f t="shared" si="3"/>
        <v>2.0</v>
      </c>
      <c r="CU1" s="192">
        <f t="shared" si="3"/>
        <v>3.0</v>
      </c>
      <c r="CV1" s="192">
        <f t="shared" si="3"/>
        <v>4.0</v>
      </c>
      <c r="DQ1" s="192">
        <v>0.0</v>
      </c>
      <c r="DR1" s="192">
        <f t="shared" si="4" ref="DR1:DU1">DQ1+1</f>
        <v>1.0</v>
      </c>
      <c r="DS1" s="192">
        <f t="shared" si="4"/>
        <v>2.0</v>
      </c>
      <c r="DT1" s="192">
        <f t="shared" si="4"/>
        <v>3.0</v>
      </c>
      <c r="DU1" s="192">
        <f t="shared" si="4"/>
        <v>4.0</v>
      </c>
    </row>
    <row r="2" spans="8:8" ht="15.0">
      <c r="L2" s="193"/>
      <c r="M2" s="194"/>
      <c r="N2" s="194" t="str">
        <f>IF(AND(O3&lt;&gt;"bad",O16&gt;67,Sheet1!H104&lt;&gt;"high",Y25&lt;&gt;"D'over",OR(Sheet1!B5="",Sheet1!B70="")),"good+1",IF(AND(O3&lt;&gt;"bad",O16&gt;67,Sheet1!H104&lt;&gt;"high",Y25&lt;&gt;"D'over"),"good","bad"))</f>
        <v>bad</v>
      </c>
      <c r="O2" s="194" t="str">
        <f>IF(AND(Sheet1!E114="yes",Sheet1!B115&lt;14),"ok","no")</f>
        <v>ok</v>
      </c>
      <c r="P2" s="194">
        <v>1.0</v>
      </c>
      <c r="Q2" s="194">
        <f>AVERAGE(C5,Q1)</f>
        <v>0.6770157314603602</v>
      </c>
      <c r="R2" s="194">
        <f>(Sheet1!N105/1000)+Q3</f>
        <v>0.06836053018625579</v>
      </c>
      <c r="S2" s="194">
        <f>AVERAGE(S1,D5)</f>
        <v>0.40896776767960363</v>
      </c>
      <c r="T2" s="194">
        <f>AVERAGE(C5,D5)</f>
        <v>1.0622091939540872</v>
      </c>
      <c r="U2" s="192">
        <f t="shared" si="5" ref="U2:Y2">POISSON(U1,$T$2,FALSE)*100</f>
        <v>34.569126707163846</v>
      </c>
      <c r="V2" s="192">
        <f t="shared" si="5"/>
        <v>36.71964421531322</v>
      </c>
      <c r="W2" s="192">
        <f t="shared" si="5"/>
        <v>19.501971842114365</v>
      </c>
      <c r="X2" s="192">
        <f t="shared" si="5"/>
        <v>6.905057930309197</v>
      </c>
      <c r="Y2" s="192">
        <f t="shared" si="5"/>
        <v>1.8336540045900045</v>
      </c>
      <c r="Z2">
        <f>SUM(U2:Y2,U4:Y4)</f>
        <v>99.99998073677287</v>
      </c>
      <c r="AK2" s="193"/>
      <c r="AL2" s="194"/>
      <c r="AM2" s="194"/>
      <c r="AN2" s="194">
        <v>2.0</v>
      </c>
      <c r="AO2" s="194"/>
      <c r="AP2" s="194">
        <f>AVERAGE(AP1,C6)</f>
        <v>1.1368937047758776</v>
      </c>
      <c r="AQ2" s="194"/>
      <c r="AR2" s="194">
        <f>AVERAGE(AR1,D6)</f>
        <v>1.159766801367634</v>
      </c>
      <c r="AS2" s="194">
        <f>AVERAGE(C6,D6)</f>
        <v>2.2716239416861446</v>
      </c>
      <c r="AT2" s="192">
        <f t="shared" si="6" ref="AT2:AX2">POISSON(AT1,$AS$2,FALSE)*100</f>
        <v>10.314454328021375</v>
      </c>
      <c r="AU2" s="192">
        <f t="shared" si="6"/>
        <v>23.430561396961632</v>
      </c>
      <c r="AV2" s="192">
        <f t="shared" si="6"/>
        <v>26.612712118242598</v>
      </c>
      <c r="AW2" s="192">
        <f t="shared" si="6"/>
        <v>20.151358000333623</v>
      </c>
      <c r="AX2" s="192">
        <f t="shared" si="6"/>
        <v>11.444076822761625</v>
      </c>
      <c r="AY2">
        <f>SUM(AT2:AX2,AT4:AX4)</f>
        <v>99.9869606850212</v>
      </c>
      <c r="BA2" s="192"/>
      <c r="BJ2" s="193"/>
      <c r="BK2" s="194"/>
      <c r="BL2" s="194"/>
      <c r="BM2" s="194">
        <v>3.0</v>
      </c>
      <c r="BN2" s="194"/>
      <c r="BO2" s="194"/>
      <c r="BP2" s="194"/>
      <c r="BQ2" s="194"/>
      <c r="BR2" s="194">
        <f>AVERAGE(C7,D7)</f>
        <v>2.2716239416861446</v>
      </c>
      <c r="BS2" s="192">
        <f t="shared" si="7" ref="BS2:BW2">POISSON(BS1,$BR$2,FALSE)*100</f>
        <v>10.314454328021375</v>
      </c>
      <c r="BT2" s="192">
        <f t="shared" si="7"/>
        <v>23.430561396961632</v>
      </c>
      <c r="BU2" s="192">
        <f t="shared" si="7"/>
        <v>26.612712118242598</v>
      </c>
      <c r="BV2" s="192">
        <f t="shared" si="7"/>
        <v>20.151358000333623</v>
      </c>
      <c r="BW2" s="192">
        <f t="shared" si="7"/>
        <v>11.444076822761625</v>
      </c>
      <c r="BX2">
        <f>SUM(BS2:BW2,BS4:BW4)</f>
        <v>99.9869606850212</v>
      </c>
      <c r="CI2" s="193"/>
      <c r="CJ2" s="194"/>
      <c r="CK2" s="194"/>
      <c r="CL2" s="194">
        <v>4.0</v>
      </c>
      <c r="CM2" s="194"/>
      <c r="CN2" s="194"/>
      <c r="CO2" s="194"/>
      <c r="CP2" s="194"/>
      <c r="CQ2" s="194">
        <f>AVERAGE(C8,D8)</f>
        <v>1.0622091939540872</v>
      </c>
      <c r="CR2" s="192">
        <f t="shared" si="8" ref="CR2:CV2">POISSON(CR1,$CQ$2,FALSE)*100</f>
        <v>34.569126707163846</v>
      </c>
      <c r="CS2" s="192">
        <f t="shared" si="8"/>
        <v>36.71964421531322</v>
      </c>
      <c r="CT2" s="192">
        <f t="shared" si="8"/>
        <v>19.501971842114365</v>
      </c>
      <c r="CU2" s="192">
        <f t="shared" si="8"/>
        <v>6.905057930309197</v>
      </c>
      <c r="CV2" s="192">
        <f t="shared" si="8"/>
        <v>1.8336540045900045</v>
      </c>
      <c r="CW2">
        <f>SUM(CR2:CV2,CR4:CV4)</f>
        <v>99.99998073677287</v>
      </c>
      <c r="DH2" s="193"/>
      <c r="DI2" s="194"/>
      <c r="DJ2" s="194"/>
      <c r="DK2" s="194">
        <v>5.0</v>
      </c>
      <c r="DL2" s="194"/>
      <c r="DM2" s="194"/>
      <c r="DN2" s="194"/>
      <c r="DO2" s="194"/>
      <c r="DP2" s="194" t="e">
        <f>AVERAGE(C9,D9)</f>
        <v>#N/A</v>
      </c>
      <c r="DQ2" s="192" t="e">
        <f t="shared" si="9" ref="DQ2:DU2">POISSON(DQ1,$DP$2,FALSE)*100</f>
        <v>#N/A</v>
      </c>
      <c r="DR2" s="192" t="e">
        <f t="shared" si="9"/>
        <v>#N/A</v>
      </c>
      <c r="DS2" s="192" t="e">
        <f t="shared" si="9"/>
        <v>#N/A</v>
      </c>
      <c r="DT2" s="192" t="e">
        <f t="shared" si="9"/>
        <v>#N/A</v>
      </c>
      <c r="DU2" s="192" t="e">
        <f t="shared" si="9"/>
        <v>#N/A</v>
      </c>
      <c r="DV2" t="e">
        <f>SUM(DQ2:DU2,DQ4:DU4)</f>
        <v>#N/A</v>
      </c>
    </row>
    <row r="3" spans="8:8" ht="15.0">
      <c r="F3">
        <v>1.0</v>
      </c>
      <c r="L3" s="195"/>
      <c r="M3" s="192"/>
      <c r="N3" s="192"/>
      <c r="O3" s="192" t="str">
        <f>IF(AND(O2="ok",P3="yes1"),"wow",IF(AND(O2="ok",P3="yes"),"good","bad"))</f>
        <v>bad</v>
      </c>
      <c r="P3" s="192" t="str">
        <f>IF(AND(Sheet1!M106&lt;&gt;"F",S3="F"),"yes1",IF(AND(S3&lt;&gt;"F",Sheet1!M106&lt;&gt;"F"),"yes","no"))</f>
        <v>no</v>
      </c>
      <c r="Q3" s="192">
        <f>AR3-AP3</f>
        <v>0.14546053018625604</v>
      </c>
      <c r="R3" s="192">
        <f>(ABS(R2))*100+(Sheet1!I106)*10</f>
        <v>24.65026721862558</v>
      </c>
      <c r="S3" s="192" t="str">
        <f>IF(R3&lt;30,"A",IF(R3&lt;34,"B",IF(R3&lt;40,"C","F")))</f>
        <v>A</v>
      </c>
      <c r="T3" s="192">
        <f>C5-D5</f>
        <v>0.51880091242989</v>
      </c>
      <c r="U3" s="192">
        <v>5.0</v>
      </c>
      <c r="V3" s="192">
        <f t="shared" si="10" ref="V3:Y3">U3+1</f>
        <v>6.0</v>
      </c>
      <c r="W3" s="192">
        <f t="shared" si="10"/>
        <v>7.0</v>
      </c>
      <c r="X3" s="192">
        <f t="shared" si="10"/>
        <v>8.0</v>
      </c>
      <c r="Y3" s="192">
        <f t="shared" si="10"/>
        <v>9.0</v>
      </c>
      <c r="Z3">
        <v>0.0</v>
      </c>
      <c r="AA3">
        <f>U2</f>
        <v>34.569126707163846</v>
      </c>
      <c r="AB3">
        <f t="shared" si="11" ref="AB3:AB6">AA4-AA3</f>
        <v>36.7196442153133</v>
      </c>
      <c r="AC3" s="196">
        <v>9.818757466481198</v>
      </c>
      <c r="AE3">
        <v>2.0</v>
      </c>
      <c r="AK3" s="195"/>
      <c r="AL3" s="192"/>
      <c r="AM3" s="192"/>
      <c r="AN3" s="192"/>
      <c r="AO3" s="192"/>
      <c r="AP3" s="192">
        <f>AVERAGE(AP2,S2)</f>
        <v>0.7729307362277407</v>
      </c>
      <c r="AQ3" s="192"/>
      <c r="AR3" s="192">
        <f>AVERAGE(AR2,Q2)</f>
        <v>0.9183912664139972</v>
      </c>
      <c r="AS3" s="192">
        <f>C6-D6</f>
        <v>-0.04481583020259006</v>
      </c>
      <c r="AT3" s="192">
        <v>5.0</v>
      </c>
      <c r="AU3" s="192">
        <f t="shared" si="12" ref="AU3:AX3">AT3+1</f>
        <v>6.0</v>
      </c>
      <c r="AV3" s="192">
        <f t="shared" si="12"/>
        <v>7.0</v>
      </c>
      <c r="AW3" s="192">
        <f t="shared" si="12"/>
        <v>8.0</v>
      </c>
      <c r="AX3" s="192">
        <f t="shared" si="12"/>
        <v>9.0</v>
      </c>
      <c r="AY3">
        <v>0.0</v>
      </c>
      <c r="AZ3">
        <f>AT2</f>
        <v>10.314454328021375</v>
      </c>
      <c r="BA3">
        <f t="shared" si="13" ref="BA3:BA6">AZ4-AZ3</f>
        <v>23.4305613969616</v>
      </c>
      <c r="BB3" s="196">
        <v>9.818757466481198</v>
      </c>
      <c r="BD3">
        <v>3.0</v>
      </c>
      <c r="BJ3" s="195"/>
      <c r="BK3" s="192"/>
      <c r="BL3" s="192"/>
      <c r="BM3" s="192"/>
      <c r="BN3" s="192"/>
      <c r="BO3" s="192"/>
      <c r="BP3" s="192"/>
      <c r="BQ3" s="192"/>
      <c r="BR3" s="192">
        <f>C7-D7</f>
        <v>-0.04481583020259006</v>
      </c>
      <c r="BS3" s="192">
        <v>5.0</v>
      </c>
      <c r="BT3" s="192">
        <f t="shared" si="14" ref="BT3:BW3">BS3+1</f>
        <v>6.0</v>
      </c>
      <c r="BU3" s="192">
        <f t="shared" si="14"/>
        <v>7.0</v>
      </c>
      <c r="BV3" s="192">
        <f t="shared" si="14"/>
        <v>8.0</v>
      </c>
      <c r="BW3" s="192">
        <f t="shared" si="14"/>
        <v>9.0</v>
      </c>
      <c r="BX3">
        <v>0.0</v>
      </c>
      <c r="BY3">
        <f>BS2</f>
        <v>10.314454328021375</v>
      </c>
      <c r="BZ3">
        <f t="shared" si="15" ref="BZ3:BZ6">BY4-BY3</f>
        <v>23.4305613969616</v>
      </c>
      <c r="CA3">
        <f t="shared" si="16" ref="CA3:CA5">BZ3-BZ4</f>
        <v>-3.182150721281001</v>
      </c>
      <c r="CC3">
        <v>4.0</v>
      </c>
      <c r="CI3" s="195"/>
      <c r="CJ3" s="192"/>
      <c r="CK3" s="192"/>
      <c r="CL3" s="192"/>
      <c r="CM3" s="192"/>
      <c r="CN3" s="192"/>
      <c r="CO3" s="192"/>
      <c r="CP3" s="192"/>
      <c r="CQ3" s="192">
        <f>C8-D8</f>
        <v>0.51880091242989</v>
      </c>
      <c r="CR3" s="192">
        <v>5.0</v>
      </c>
      <c r="CS3" s="192">
        <f t="shared" si="17" ref="CS3:CV3">CR3+1</f>
        <v>6.0</v>
      </c>
      <c r="CT3" s="192">
        <f t="shared" si="17"/>
        <v>7.0</v>
      </c>
      <c r="CU3" s="192">
        <f t="shared" si="17"/>
        <v>8.0</v>
      </c>
      <c r="CV3" s="192">
        <f t="shared" si="17"/>
        <v>9.0</v>
      </c>
      <c r="CW3">
        <v>0.0</v>
      </c>
      <c r="CX3">
        <f>CR2</f>
        <v>34.569126707163846</v>
      </c>
      <c r="CY3">
        <f t="shared" si="18" ref="CY3:CY6">CX4-CX3</f>
        <v>36.7196442153133</v>
      </c>
      <c r="CZ3">
        <f t="shared" si="19" ref="CZ3:CZ5">CY3-CY4</f>
        <v>17.217672373199</v>
      </c>
      <c r="DB3">
        <v>5.0</v>
      </c>
      <c r="DH3" s="195"/>
      <c r="DI3" s="192"/>
      <c r="DJ3" s="192"/>
      <c r="DK3" s="192"/>
      <c r="DL3" s="192"/>
      <c r="DM3" s="192"/>
      <c r="DN3" s="192"/>
      <c r="DO3" s="192"/>
      <c r="DP3" s="192" t="e">
        <f>C9-D9</f>
        <v>#N/A</v>
      </c>
      <c r="DQ3" s="192">
        <v>5.0</v>
      </c>
      <c r="DR3" s="192">
        <f t="shared" si="20" ref="DR3:DU3">DQ3+1</f>
        <v>6.0</v>
      </c>
      <c r="DS3" s="192">
        <f t="shared" si="20"/>
        <v>7.0</v>
      </c>
      <c r="DT3" s="192">
        <f t="shared" si="20"/>
        <v>8.0</v>
      </c>
      <c r="DU3" s="192">
        <f t="shared" si="20"/>
        <v>9.0</v>
      </c>
      <c r="DV3">
        <v>0.0</v>
      </c>
      <c r="DW3" t="e">
        <f>DQ2</f>
        <v>#N/A</v>
      </c>
      <c r="DX3" t="e">
        <f t="shared" si="21" ref="DX3:DX6">DW4-DW3</f>
        <v>#N/A</v>
      </c>
      <c r="DY3" t="e">
        <f t="shared" si="22" ref="DY3:DY5">DX3-DX4</f>
        <v>#N/A</v>
      </c>
    </row>
    <row r="4" spans="8:8" ht="15.0">
      <c r="C4" t="s">
        <v>6</v>
      </c>
      <c r="D4" t="s">
        <v>7</v>
      </c>
      <c r="E4" s="197" t="str">
        <f>Sheet1!F48</f>
        <v> Monterey Bay </v>
      </c>
      <c r="F4" s="194"/>
      <c r="G4" s="198" t="str">
        <f>Sheet1!G48</f>
        <v> Sporting JAX </v>
      </c>
      <c r="H4" s="194" t="s">
        <v>79</v>
      </c>
      <c r="I4" s="199"/>
      <c r="L4" s="195" t="s">
        <v>80</v>
      </c>
      <c r="M4" s="200" t="str">
        <f>G4</f>
        <v> Sporting JAX </v>
      </c>
      <c r="N4" s="192">
        <v>0.0</v>
      </c>
      <c r="O4" s="192">
        <f t="shared" si="23" ref="O4:S4">N4+1</f>
        <v>1.0</v>
      </c>
      <c r="P4" s="192">
        <f t="shared" si="23"/>
        <v>2.0</v>
      </c>
      <c r="Q4" s="192">
        <f t="shared" si="23"/>
        <v>3.0</v>
      </c>
      <c r="R4" s="192">
        <f t="shared" si="23"/>
        <v>4.0</v>
      </c>
      <c r="S4" s="192">
        <f t="shared" si="23"/>
        <v>5.0</v>
      </c>
      <c r="T4" s="192"/>
      <c r="U4" s="192">
        <f t="shared" si="24" ref="U4:Y4">POISSON(U3,$T$2,FALSE)*100</f>
        <v>0.3895448284412461</v>
      </c>
      <c r="V4" s="192">
        <f t="shared" si="24"/>
        <v>0.06896301637125979</v>
      </c>
      <c r="W4" s="192">
        <f t="shared" si="24"/>
        <v>0.010464735718908363</v>
      </c>
      <c r="X4" s="192">
        <f t="shared" si="24"/>
        <v>0.001389467311615528</v>
      </c>
      <c r="Y4" s="192">
        <f t="shared" si="24"/>
        <v>1.6398943923296406E-4</v>
      </c>
      <c r="Z4">
        <f t="shared" si="25" ref="Z4:Z7">Z3+1</f>
        <v>1.0</v>
      </c>
      <c r="AA4">
        <f>SUM(U2,V2)</f>
        <v>71.28877092247706</v>
      </c>
      <c r="AB4">
        <f t="shared" si="11"/>
        <v>19.5019718421143</v>
      </c>
      <c r="AC4" s="196">
        <v>12.814904484106501</v>
      </c>
      <c r="AD4" s="197" t="str">
        <f>Sheet1!J48</f>
        <v> Sporting JAX </v>
      </c>
      <c r="AE4" s="194"/>
      <c r="AF4" s="198" t="str">
        <f>Sheet1!K48</f>
        <v> Monterey Bay </v>
      </c>
      <c r="AG4" s="194" t="s">
        <v>79</v>
      </c>
      <c r="AH4" s="199"/>
      <c r="AK4" s="195" t="s">
        <v>80</v>
      </c>
      <c r="AL4" s="200" t="str">
        <f>AF4</f>
        <v> Monterey Bay </v>
      </c>
      <c r="AM4" s="192">
        <v>0.0</v>
      </c>
      <c r="AN4" s="192">
        <f t="shared" si="26" ref="AN4:AR4">AM4+1</f>
        <v>1.0</v>
      </c>
      <c r="AO4" s="192">
        <f t="shared" si="26"/>
        <v>2.0</v>
      </c>
      <c r="AP4" s="192">
        <f t="shared" si="26"/>
        <v>3.0</v>
      </c>
      <c r="AQ4" s="192">
        <f t="shared" si="26"/>
        <v>4.0</v>
      </c>
      <c r="AR4" s="192">
        <f t="shared" si="26"/>
        <v>5.0</v>
      </c>
      <c r="AS4" s="192"/>
      <c r="AT4" s="192">
        <f t="shared" si="27" ref="AT4:AX4">POISSON(AT3,$AS$2,FALSE)*100</f>
        <v>5.19932778021616</v>
      </c>
      <c r="AU4" s="192">
        <f t="shared" si="27"/>
        <v>1.9684862443688194</v>
      </c>
      <c r="AV4" s="192">
        <f t="shared" si="27"/>
        <v>0.6388086402268641</v>
      </c>
      <c r="AW4" s="192">
        <f t="shared" si="27"/>
        <v>0.18139162516191462</v>
      </c>
      <c r="AX4" s="192">
        <f t="shared" si="27"/>
        <v>0.04578372872657368</v>
      </c>
      <c r="AY4">
        <f t="shared" si="28" ref="AY4:AY7">AY3+1</f>
        <v>1.0</v>
      </c>
      <c r="AZ4">
        <f>SUM(AT2,AU2)</f>
        <v>33.745015724983006</v>
      </c>
      <c r="BA4">
        <f t="shared" si="13"/>
        <v>26.612712118242598</v>
      </c>
      <c r="BB4" s="196">
        <v>12.814904484106501</v>
      </c>
      <c r="BC4" s="197" t="str">
        <f>Sheet1!N48</f>
        <v> Sporting JAX </v>
      </c>
      <c r="BD4" s="194"/>
      <c r="BE4" s="198" t="str">
        <f>Sheet1!O48</f>
        <v> Monterey Bay </v>
      </c>
      <c r="BF4" s="194" t="s">
        <v>79</v>
      </c>
      <c r="BG4" s="199"/>
      <c r="BJ4" s="195" t="s">
        <v>80</v>
      </c>
      <c r="BK4" s="200" t="str">
        <f>BE4</f>
        <v> Monterey Bay </v>
      </c>
      <c r="BL4" s="192">
        <v>0.0</v>
      </c>
      <c r="BM4" s="192">
        <f t="shared" si="29" ref="BM4:BQ4">BL4+1</f>
        <v>1.0</v>
      </c>
      <c r="BN4" s="192">
        <f t="shared" si="29"/>
        <v>2.0</v>
      </c>
      <c r="BO4" s="192">
        <f t="shared" si="29"/>
        <v>3.0</v>
      </c>
      <c r="BP4" s="192">
        <f t="shared" si="29"/>
        <v>4.0</v>
      </c>
      <c r="BQ4" s="192">
        <f t="shared" si="29"/>
        <v>5.0</v>
      </c>
      <c r="BR4" s="192"/>
      <c r="BS4" s="192">
        <f t="shared" si="30" ref="BS4:BW4">POISSON(BS3,$BR$2,FALSE)*100</f>
        <v>5.19932778021616</v>
      </c>
      <c r="BT4" s="192">
        <f t="shared" si="30"/>
        <v>1.9684862443688194</v>
      </c>
      <c r="BU4" s="192">
        <f t="shared" si="30"/>
        <v>0.6388086402268641</v>
      </c>
      <c r="BV4" s="192">
        <f t="shared" si="30"/>
        <v>0.18139162516191462</v>
      </c>
      <c r="BW4" s="192">
        <f t="shared" si="30"/>
        <v>0.04578372872657368</v>
      </c>
      <c r="BX4">
        <f t="shared" si="31" ref="BX4:BX7">BX3+1</f>
        <v>1.0</v>
      </c>
      <c r="BY4">
        <f>SUM(BS2,BT2)</f>
        <v>33.745015724983006</v>
      </c>
      <c r="BZ4">
        <f t="shared" si="15"/>
        <v>26.612712118242598</v>
      </c>
      <c r="CA4">
        <f t="shared" si="16"/>
        <v>6.461354117909</v>
      </c>
      <c r="CB4" s="197" t="str">
        <f>Sheet1!R48</f>
        <v> Monterey Bay </v>
      </c>
      <c r="CC4" s="194"/>
      <c r="CD4" s="198" t="str">
        <f>Sheet1!S48</f>
        <v> Sporting JAX </v>
      </c>
      <c r="CE4" s="194" t="s">
        <v>79</v>
      </c>
      <c r="CF4" s="199"/>
      <c r="CI4" s="195" t="s">
        <v>80</v>
      </c>
      <c r="CJ4" s="200" t="str">
        <f>CD4</f>
        <v> Sporting JAX </v>
      </c>
      <c r="CK4" s="192">
        <v>0.0</v>
      </c>
      <c r="CL4" s="192">
        <f t="shared" si="32" ref="CL4:CP4">CK4+1</f>
        <v>1.0</v>
      </c>
      <c r="CM4" s="192">
        <f t="shared" si="32"/>
        <v>2.0</v>
      </c>
      <c r="CN4" s="192">
        <f t="shared" si="32"/>
        <v>3.0</v>
      </c>
      <c r="CO4" s="192">
        <f t="shared" si="32"/>
        <v>4.0</v>
      </c>
      <c r="CP4" s="192">
        <f t="shared" si="32"/>
        <v>5.0</v>
      </c>
      <c r="CQ4" s="192"/>
      <c r="CR4" s="192">
        <f t="shared" si="33" ref="CR4:CV4">POISSON(CR3,$CQ$2,FALSE)*100</f>
        <v>0.3895448284412461</v>
      </c>
      <c r="CS4" s="192">
        <f t="shared" si="33"/>
        <v>0.06896301637125979</v>
      </c>
      <c r="CT4" s="192">
        <f t="shared" si="33"/>
        <v>0.010464735718908363</v>
      </c>
      <c r="CU4" s="192">
        <f t="shared" si="33"/>
        <v>0.001389467311615528</v>
      </c>
      <c r="CV4" s="192">
        <f t="shared" si="33"/>
        <v>1.6398943923296406E-4</v>
      </c>
      <c r="CW4">
        <f t="shared" si="34" ref="CW4:CW7">CW3+1</f>
        <v>1.0</v>
      </c>
      <c r="CX4">
        <f>SUM(CR2,CS2)</f>
        <v>71.28877092247706</v>
      </c>
      <c r="CY4">
        <f t="shared" si="18"/>
        <v>19.5019718421143</v>
      </c>
      <c r="CZ4">
        <f t="shared" si="19"/>
        <v>12.596913911805101</v>
      </c>
      <c r="DA4" s="197" t="str">
        <f>Sheet1!V48</f>
        <v> Galway Utd </v>
      </c>
      <c r="DB4" s="194"/>
      <c r="DC4" s="198" t="str">
        <f>Sheet1!W48</f>
        <v> Cork City </v>
      </c>
      <c r="DD4" s="194" t="s">
        <v>79</v>
      </c>
      <c r="DE4" s="199"/>
      <c r="DH4" s="195" t="s">
        <v>80</v>
      </c>
      <c r="DI4" s="200" t="str">
        <f>DC4</f>
        <v> Cork City </v>
      </c>
      <c r="DJ4" s="192">
        <v>0.0</v>
      </c>
      <c r="DK4" s="192">
        <f t="shared" si="35" ref="DK4:DO4">DJ4+1</f>
        <v>1.0</v>
      </c>
      <c r="DL4" s="192">
        <f t="shared" si="35"/>
        <v>2.0</v>
      </c>
      <c r="DM4" s="192">
        <f t="shared" si="35"/>
        <v>3.0</v>
      </c>
      <c r="DN4" s="192">
        <f t="shared" si="35"/>
        <v>4.0</v>
      </c>
      <c r="DO4" s="192">
        <f t="shared" si="35"/>
        <v>5.0</v>
      </c>
      <c r="DP4" s="192"/>
      <c r="DQ4" s="192" t="e">
        <f t="shared" si="36" ref="DQ4:DU4">POISSON(DQ3,$DP$2,FALSE)*100</f>
        <v>#N/A</v>
      </c>
      <c r="DR4" s="192" t="e">
        <f t="shared" si="36"/>
        <v>#N/A</v>
      </c>
      <c r="DS4" s="192" t="e">
        <f t="shared" si="36"/>
        <v>#N/A</v>
      </c>
      <c r="DT4" s="192" t="e">
        <f t="shared" si="36"/>
        <v>#N/A</v>
      </c>
      <c r="DU4" s="192" t="e">
        <f t="shared" si="36"/>
        <v>#N/A</v>
      </c>
      <c r="DV4">
        <f t="shared" si="37" ref="DV4:DV7">DV3+1</f>
        <v>1.0</v>
      </c>
      <c r="DW4" t="e">
        <f>SUM(DQ2,DR2)</f>
        <v>#N/A</v>
      </c>
      <c r="DX4" t="e">
        <f t="shared" si="21"/>
        <v>#N/A</v>
      </c>
      <c r="DY4" t="e">
        <f t="shared" si="22"/>
        <v>#N/A</v>
      </c>
    </row>
    <row r="5" spans="8:8" ht="15.0">
      <c r="B5">
        <v>1.0</v>
      </c>
      <c r="C5">
        <f>Sheet1!F52</f>
        <v>1.3216096501690342</v>
      </c>
      <c r="D5">
        <f>Sheet1!G52</f>
        <v>0.8028087377391403</v>
      </c>
      <c r="E5" s="201">
        <v>0.0</v>
      </c>
      <c r="F5" s="202" t="s">
        <v>81</v>
      </c>
      <c r="G5" s="203">
        <v>0.0</v>
      </c>
      <c r="H5" s="192">
        <f t="shared" si="38" ref="H5:H36">POISSON(E5,$C$5,FALSE)*POISSON(G5,$D$5,FALSE)*100</f>
        <v>11.950245212959487</v>
      </c>
      <c r="I5" s="204">
        <f t="shared" si="39" ref="I5:I36">RANK(H5,$H$5:$H$36,0)</f>
        <v>3.0</v>
      </c>
      <c r="J5">
        <f>IF(J24="away",J19-(J23*3),IF(J24="home",J19-(J22*3),J19))</f>
        <v>8.0</v>
      </c>
      <c r="L5" s="205" t="str">
        <f>E4</f>
        <v> Monterey Bay </v>
      </c>
      <c r="M5" s="206" t="s">
        <v>82</v>
      </c>
      <c r="N5" s="206">
        <f t="shared" si="40" ref="N5:S5">POISSON(N4,$D$5,FALSE)</f>
        <v>0.44806868762002394</v>
      </c>
      <c r="O5" s="206">
        <f t="shared" si="40"/>
        <v>0.35971345752866457</v>
      </c>
      <c r="P5" s="206">
        <f t="shared" si="40"/>
        <v>0.14439055339318452</v>
      </c>
      <c r="Q5" s="206">
        <f t="shared" si="40"/>
        <v>0.038639332637012774</v>
      </c>
      <c r="R5" s="206">
        <f t="shared" si="40"/>
        <v>0.007754998465350753</v>
      </c>
      <c r="S5" s="206">
        <f t="shared" si="40"/>
        <v>0.0012451561058274437</v>
      </c>
      <c r="T5" s="192"/>
      <c r="U5" s="192"/>
      <c r="V5" s="192"/>
      <c r="W5" s="192" t="s">
        <v>83</v>
      </c>
      <c r="X5" s="192" t="s">
        <v>84</v>
      </c>
      <c r="Y5" s="204"/>
      <c r="Z5">
        <f t="shared" si="25"/>
        <v>2.0</v>
      </c>
      <c r="AA5">
        <f>SUM(U2,V2,W2)</f>
        <v>90.79074276459141</v>
      </c>
      <c r="AB5">
        <f t="shared" si="11"/>
        <v>6.905057930309198</v>
      </c>
      <c r="AC5" s="196">
        <v>7.4761199763405894</v>
      </c>
      <c r="AD5" s="201">
        <v>0.0</v>
      </c>
      <c r="AE5" s="202">
        <f t="shared" si="41" ref="AE5:AE36">AD5+AF5</f>
        <v>0.0</v>
      </c>
      <c r="AF5" s="203">
        <v>0.0</v>
      </c>
      <c r="AG5" s="192">
        <f t="shared" si="42" ref="AG5:AG36">POISSON(AD5,$C$6,FALSE)*POISSON(AF5,$D$6,FALSE)*100</f>
        <v>1.0638796808483886</v>
      </c>
      <c r="AH5" s="204">
        <f t="shared" si="43" ref="AH5:AH36">RANK(AG5,$AG$5:$AG$36,0)</f>
        <v>27.0</v>
      </c>
      <c r="AI5">
        <f>IF(AI24="away",AI19-(AI23*3),IF(AI24="home",AI19-(AI22*3),AI19))</f>
        <v>7.0</v>
      </c>
      <c r="AK5" s="205" t="str">
        <f>AD4</f>
        <v> Sporting JAX </v>
      </c>
      <c r="AL5" s="206" t="s">
        <v>82</v>
      </c>
      <c r="AM5" s="206">
        <f t="shared" si="44" ref="AM5:AR5">POISSON(AM4,$D$6,FALSE)</f>
        <v>0.10085899196441883</v>
      </c>
      <c r="AN5" s="206">
        <f t="shared" si="44"/>
        <v>0.23137374060984528</v>
      </c>
      <c r="AO5" s="206">
        <f t="shared" si="44"/>
        <v>0.2653893658915294</v>
      </c>
      <c r="AP5" s="206">
        <f t="shared" si="44"/>
        <v>0.20293721993592886</v>
      </c>
      <c r="AQ5" s="206">
        <f t="shared" si="44"/>
        <v>0.11638611186522496</v>
      </c>
      <c r="AR5" s="206">
        <f t="shared" si="44"/>
        <v>0.053398689661290515</v>
      </c>
      <c r="AS5" s="192"/>
      <c r="AT5" s="192"/>
      <c r="AU5" s="192"/>
      <c r="AV5" s="192" t="s">
        <v>83</v>
      </c>
      <c r="AW5" s="192" t="s">
        <v>84</v>
      </c>
      <c r="AX5" s="204"/>
      <c r="AY5">
        <f t="shared" si="28"/>
        <v>2.0</v>
      </c>
      <c r="AZ5">
        <f>SUM(AT2,AU2,AV2)</f>
        <v>60.357727843225604</v>
      </c>
      <c r="BA5">
        <f t="shared" si="13"/>
        <v>20.15135800033361</v>
      </c>
      <c r="BB5" s="196">
        <v>7.4761199763405894</v>
      </c>
      <c r="BC5" s="201">
        <v>0.0</v>
      </c>
      <c r="BD5" s="202" t="s">
        <v>81</v>
      </c>
      <c r="BE5" s="203">
        <v>0.0</v>
      </c>
      <c r="BF5" s="192">
        <f t="shared" si="45" ref="BF5:BF36">POISSON(BC5,$C$7,FALSE)*POISSON(BE5,$D$7,FALSE)*100</f>
        <v>1.0638796808483886</v>
      </c>
      <c r="BG5" s="204">
        <f t="shared" si="46" ref="BG5:BG36">RANK(BF5,$BF$5:$BF$36,0)</f>
        <v>27.0</v>
      </c>
      <c r="BH5">
        <f>IF(BH24="away",BH19-(BH23*3),IF(BH24="home",BH19-(BH22*3),BH19))</f>
        <v>7.0</v>
      </c>
      <c r="BJ5" s="205" t="str">
        <f>BC4</f>
        <v> Sporting JAX </v>
      </c>
      <c r="BK5" s="206" t="s">
        <v>82</v>
      </c>
      <c r="BL5" s="206">
        <f t="shared" si="47" ref="BL5:BQ5">POISSON(BL4,$D$7,FALSE)</f>
        <v>0.10085899196441883</v>
      </c>
      <c r="BM5" s="206">
        <f t="shared" si="47"/>
        <v>0.23137374060984528</v>
      </c>
      <c r="BN5" s="206">
        <f t="shared" si="47"/>
        <v>0.2653893658915294</v>
      </c>
      <c r="BO5" s="206">
        <f t="shared" si="47"/>
        <v>0.20293721993592886</v>
      </c>
      <c r="BP5" s="206">
        <f t="shared" si="47"/>
        <v>0.11638611186522496</v>
      </c>
      <c r="BQ5" s="206">
        <f t="shared" si="47"/>
        <v>0.053398689661290515</v>
      </c>
      <c r="BR5" s="192"/>
      <c r="BS5" s="192"/>
      <c r="BT5" s="192"/>
      <c r="BU5" s="192" t="s">
        <v>83</v>
      </c>
      <c r="BV5" s="192" t="s">
        <v>84</v>
      </c>
      <c r="BW5" s="204"/>
      <c r="BX5">
        <f t="shared" si="31"/>
        <v>2.0</v>
      </c>
      <c r="BY5">
        <f>SUM(BS2,BT2,BU2)</f>
        <v>60.357727843225604</v>
      </c>
      <c r="BZ5">
        <f t="shared" si="15"/>
        <v>20.15135800033361</v>
      </c>
      <c r="CA5">
        <f t="shared" si="16"/>
        <v>8.707281177571902</v>
      </c>
      <c r="CB5" s="201">
        <v>0.0</v>
      </c>
      <c r="CC5" s="202" t="s">
        <v>81</v>
      </c>
      <c r="CD5" s="203">
        <v>0.0</v>
      </c>
      <c r="CE5" s="192">
        <f t="shared" si="48" ref="CE5:CE36">POISSON(CB5,$C$8,FALSE)*POISSON(CD5,$D$8,FALSE)*100</f>
        <v>11.950245212959487</v>
      </c>
      <c r="CF5" s="204">
        <f t="shared" si="49" ref="CF5:CF36">RANK(CE5,$CE$5:$CE$36,0)</f>
        <v>3.0</v>
      </c>
      <c r="CG5">
        <f>IF(CG24="away",CG19-(CG23*3),IF(CG24="home",CG19-(CG22*3),CG19))</f>
        <v>8.0</v>
      </c>
      <c r="CI5" s="205" t="str">
        <f>CB4</f>
        <v> Monterey Bay </v>
      </c>
      <c r="CJ5" s="206" t="s">
        <v>82</v>
      </c>
      <c r="CK5" s="206">
        <f t="shared" si="50" ref="CK5:CP5">POISSON(CK4,$D$8,FALSE)</f>
        <v>0.44806868762002394</v>
      </c>
      <c r="CL5" s="206">
        <f t="shared" si="50"/>
        <v>0.35971345752866457</v>
      </c>
      <c r="CM5" s="206">
        <f t="shared" si="50"/>
        <v>0.14439055339318452</v>
      </c>
      <c r="CN5" s="206">
        <f t="shared" si="50"/>
        <v>0.038639332637012774</v>
      </c>
      <c r="CO5" s="206">
        <f t="shared" si="50"/>
        <v>0.007754998465350753</v>
      </c>
      <c r="CP5" s="206">
        <f t="shared" si="50"/>
        <v>0.0012451561058274437</v>
      </c>
      <c r="CQ5" s="192"/>
      <c r="CR5" s="192"/>
      <c r="CS5" s="192"/>
      <c r="CT5" s="192" t="s">
        <v>83</v>
      </c>
      <c r="CU5" s="192" t="s">
        <v>84</v>
      </c>
      <c r="CV5" s="204"/>
      <c r="CW5">
        <f t="shared" si="34"/>
        <v>2.0</v>
      </c>
      <c r="CX5">
        <f>SUM(CR2,CS2,CT2)</f>
        <v>90.79074276459141</v>
      </c>
      <c r="CY5">
        <f t="shared" si="18"/>
        <v>6.905057930309198</v>
      </c>
      <c r="CZ5">
        <f t="shared" si="19"/>
        <v>5.071403925719199</v>
      </c>
      <c r="DA5" s="201">
        <v>0.0</v>
      </c>
      <c r="DB5" s="202" t="s">
        <v>81</v>
      </c>
      <c r="DC5" s="203">
        <v>0.0</v>
      </c>
      <c r="DD5" s="192" t="e">
        <f t="shared" si="51" ref="DD5:DD36">POISSON(DA5,$C$9,FALSE)*POISSON(DC5,$D$9,FALSE)*100</f>
        <v>#N/A</v>
      </c>
      <c r="DE5" s="204" t="e">
        <f t="shared" si="52" ref="DE5:DE36">RANK(DD5,$DD$5:$DD$36,0)</f>
        <v>#N/A</v>
      </c>
      <c r="DF5" t="e">
        <f>IF(DF24="away",DF19-(DF23*3),IF(DF24="home",DF19-(DF22*3),DF19))</f>
        <v>#N/A</v>
      </c>
      <c r="DH5" s="205" t="str">
        <f>DA4</f>
        <v> Galway Utd </v>
      </c>
      <c r="DI5" s="206" t="s">
        <v>82</v>
      </c>
      <c r="DJ5" s="206" t="e">
        <f t="shared" si="53" ref="DJ5:DO5">POISSON(DJ4,$D$9,FALSE)</f>
        <v>#N/A</v>
      </c>
      <c r="DK5" s="206" t="e">
        <f t="shared" si="53"/>
        <v>#N/A</v>
      </c>
      <c r="DL5" s="206" t="e">
        <f t="shared" si="53"/>
        <v>#N/A</v>
      </c>
      <c r="DM5" s="206" t="e">
        <f t="shared" si="53"/>
        <v>#N/A</v>
      </c>
      <c r="DN5" s="206" t="e">
        <f t="shared" si="53"/>
        <v>#N/A</v>
      </c>
      <c r="DO5" s="206" t="e">
        <f t="shared" si="53"/>
        <v>#N/A</v>
      </c>
      <c r="DP5" s="192"/>
      <c r="DQ5" s="192"/>
      <c r="DR5" s="192"/>
      <c r="DS5" s="192" t="s">
        <v>83</v>
      </c>
      <c r="DT5" s="192" t="s">
        <v>84</v>
      </c>
      <c r="DU5" s="204"/>
      <c r="DV5">
        <f t="shared" si="37"/>
        <v>2.0</v>
      </c>
      <c r="DW5" t="e">
        <f>SUM(DQ2,DR2,DS2)</f>
        <v>#N/A</v>
      </c>
      <c r="DX5" t="e">
        <f t="shared" si="21"/>
        <v>#N/A</v>
      </c>
      <c r="DY5" t="e">
        <f t="shared" si="22"/>
        <v>#N/A</v>
      </c>
    </row>
    <row r="6" spans="8:8" ht="15.0">
      <c r="B6">
        <f t="shared" si="54" ref="B6:B9">B5+1</f>
        <v>2.0</v>
      </c>
      <c r="C6">
        <f>Sheet1!J52</f>
        <v>2.249216026584849</v>
      </c>
      <c r="D6">
        <f>Sheet1!K52</f>
        <v>2.29403185678744</v>
      </c>
      <c r="E6" s="201">
        <v>0.0</v>
      </c>
      <c r="F6" s="202" t="s">
        <v>81</v>
      </c>
      <c r="G6" s="203">
        <v>1.0</v>
      </c>
      <c r="H6" s="192">
        <f t="shared" si="38"/>
        <v>9.593761275089209</v>
      </c>
      <c r="I6" s="204">
        <f t="shared" si="39"/>
        <v>4.0</v>
      </c>
      <c r="J6" t="str">
        <f>IF(I5=1,"draw",IF(I6=1,"away",IF(I7=1,"draw 1-1",IF(I8=1,"home",IF(I9=1,"away 0-2",IF(I10=1,"away 1-2",IF(I11=1,"home 2-1","rountime")))))))</f>
        <v>home</v>
      </c>
      <c r="K6" t="str">
        <f t="shared" si="55" ref="K6:K9">IF(OR(J6="away",J6="home",J6="draw"),"small",IF(OR(J6="away",J6="home",J6="draw",J6="draw 1-1",J6="away 0-2"),"under",IF(J6="rountime","RT",0)))</f>
        <v>small</v>
      </c>
      <c r="L6" s="195">
        <v>0.0</v>
      </c>
      <c r="M6" s="206">
        <f t="shared" si="56" ref="M6:M11">POISSON(L6,$C$5,FALSE)</f>
        <v>0.2667056534665431</v>
      </c>
      <c r="N6" s="207">
        <f t="shared" si="57" ref="N6:N11">$N$5*M6</f>
        <v>0.11950245212959487</v>
      </c>
      <c r="O6" s="192">
        <f t="shared" si="58" ref="O6:O11">$O$5*M6</f>
        <v>0.09593761275089209</v>
      </c>
      <c r="P6" s="192">
        <f t="shared" si="59" ref="P6:P11">$P$5*M6</f>
        <v>0.038509776897125064</v>
      </c>
      <c r="Q6" s="192">
        <f t="shared" si="60" ref="Q6:Q11">$Q$5*M6</f>
        <v>0.01030532846046562</v>
      </c>
      <c r="R6" s="192">
        <f t="shared" si="61" ref="R6:R11">$R$5*M6</f>
        <v>0.0020683019333334117</v>
      </c>
      <c r="S6" s="192">
        <f t="shared" si="62" ref="S6:S11">$S$5*M6</f>
        <v>3.320901728725645E-4</v>
      </c>
      <c r="T6" s="192">
        <f>SUM(R6:S9,S10,Q6,Q7,Q8,P7,P6,O6)*100</f>
        <v>22.690196430100507</v>
      </c>
      <c r="U6" s="192"/>
      <c r="V6" s="206">
        <v>0.5</v>
      </c>
      <c r="W6" s="192">
        <f>N6</f>
        <v>0.11950245212959487</v>
      </c>
      <c r="X6" s="192">
        <f>(Y6-W6)</f>
        <v>0.8778916843353947</v>
      </c>
      <c r="Y6" s="204">
        <f>SUM(N6:S11)</f>
        <v>0.9973941364649895</v>
      </c>
      <c r="Z6">
        <f t="shared" si="25"/>
        <v>3.0</v>
      </c>
      <c r="AA6">
        <f>SUM(U2,V2,W2,X2)</f>
        <v>97.69580069490061</v>
      </c>
      <c r="AB6">
        <f t="shared" si="11"/>
        <v>1.8336540045900023</v>
      </c>
      <c r="AC6">
        <f>IF(AND(AC4&gt;AC3,AC5),2.5,IF(AND(AC3&gt;AC4,AC5),1.5,IF(AND(AC5&gt;AC3,AC4),3.5)))</f>
        <v>2.5</v>
      </c>
      <c r="AD6" s="201">
        <v>0.0</v>
      </c>
      <c r="AE6" s="202">
        <f t="shared" si="41"/>
        <v>1.0</v>
      </c>
      <c r="AF6" s="203">
        <v>1.0</v>
      </c>
      <c r="AG6" s="192">
        <f t="shared" si="42"/>
        <v>2.4405738796550587</v>
      </c>
      <c r="AH6" s="204">
        <f t="shared" si="43"/>
        <v>15.0</v>
      </c>
      <c r="AI6" t="str">
        <f>IF(AH5=1,"draw",IF(AH6=1,"away",IF(AH7=1,"draw 1-1",IF(AH8=1,"home",IF(AH9=1,"away 0-2",IF(AH10=1,"away 1-2",IF(AH11=1,"home 2-1","rountime")))))))</f>
        <v>rountime</v>
      </c>
      <c r="AJ6" t="str">
        <f t="shared" si="63" ref="AJ6:AJ9">IF(OR(AI6="away",AI6="home",AI6="draw"),"small",IF(OR(AI6="away",AI6="home",AI6="draw",AI6="draw 1-1",AI6="away 0-2"),"under",IF(AI6="rountime","RT",0)))</f>
        <v>RT</v>
      </c>
      <c r="AK6" s="195">
        <v>0.0</v>
      </c>
      <c r="AL6" s="206">
        <f t="shared" si="64" ref="AL6:AL11">POISSON(AK6,$C$6,FALSE)</f>
        <v>0.10548188715030044</v>
      </c>
      <c r="AM6" s="207">
        <f t="shared" si="65" ref="AM6:AM11">$AM$5*AL6</f>
        <v>0.010638796808483886</v>
      </c>
      <c r="AN6" s="192">
        <f t="shared" si="66" ref="AN6:AN11">$AN$5*AL6</f>
        <v>0.024405738796550586</v>
      </c>
      <c r="AO6" s="192">
        <f t="shared" si="67" ref="AO6:AO11">$AO$5*AL6</f>
        <v>0.027993771143860095</v>
      </c>
      <c r="AP6" s="192">
        <f t="shared" si="68" ref="AP6:AP11">$AP$5*AL6</f>
        <v>0.02140620093187735</v>
      </c>
      <c r="AQ6" s="192">
        <f t="shared" si="69" ref="AQ6:AQ11">$AQ$5*AL6</f>
        <v>0.012276626717629902</v>
      </c>
      <c r="AR6" s="192">
        <f t="shared" si="70" ref="AR6:AR11">$AR$5*AL6</f>
        <v>0.005632594556826161</v>
      </c>
      <c r="AS6" s="192">
        <f>SUM(AQ6:AR9,AR10,AP6,AP7,AP8,AO7,AO6,AN6)*100</f>
        <v>38.25261892174242</v>
      </c>
      <c r="AT6" s="192"/>
      <c r="AU6" s="206">
        <v>0.5</v>
      </c>
      <c r="AV6" s="192">
        <f>AM6</f>
        <v>0.010638796808483886</v>
      </c>
      <c r="AW6" s="192">
        <f>(AX6-AV6)</f>
        <v>0.9331900239791964</v>
      </c>
      <c r="AX6" s="204">
        <f>SUM(AM6:AR11)</f>
        <v>0.9438288207876803</v>
      </c>
      <c r="AY6">
        <f t="shared" si="28"/>
        <v>3.0</v>
      </c>
      <c r="AZ6">
        <f>SUM(AT2,AU2,AV2,AW2)</f>
        <v>80.50908584355923</v>
      </c>
      <c r="BA6">
        <f t="shared" si="13"/>
        <v>11.444076822761701</v>
      </c>
      <c r="BB6">
        <f>IF(AND(BB4&gt;BB3,BB5),2.5,IF(AND(BB3&gt;BB4,BB5),1.5,IF(AND(BB5&gt;BB3,BB4),3.5)))</f>
        <v>2.5</v>
      </c>
      <c r="BC6" s="201">
        <v>0.0</v>
      </c>
      <c r="BD6" s="202" t="s">
        <v>81</v>
      </c>
      <c r="BE6" s="203">
        <v>1.0</v>
      </c>
      <c r="BF6" s="192">
        <f t="shared" si="45"/>
        <v>2.4405738796550587</v>
      </c>
      <c r="BG6" s="204">
        <f t="shared" si="46"/>
        <v>15.0</v>
      </c>
      <c r="BH6" t="str">
        <f>IF(BG5=1,"draw",IF(BG6=1,"away",IF(BG7=1,"draw 1-1",IF(BG8=1,"home",IF(BG9=1,"away 0-2",IF(BG10=1,"away 1-2",IF(BG11=1,"home 2-1","rountime")))))))</f>
        <v>rountime</v>
      </c>
      <c r="BI6" t="str">
        <f t="shared" si="71" ref="BI6:BI9">IF(OR(BH6="away",BH6="home",BH6="draw"),"small",IF(OR(BH6="away",BH6="home",BH6="draw",BH6="draw 1-1",BH6="away 0-2"),"under",IF(BH6="rountime","RT",0)))</f>
        <v>RT</v>
      </c>
      <c r="BJ6" s="195">
        <v>0.0</v>
      </c>
      <c r="BK6" s="206">
        <f t="shared" si="72" ref="BK6:BK11">POISSON(BJ6,$C$7,FALSE)</f>
        <v>0.10548188715030044</v>
      </c>
      <c r="BL6" s="207">
        <f t="shared" si="73" ref="BL6:BL11">$BL$5*BK6</f>
        <v>0.010638796808483886</v>
      </c>
      <c r="BM6" s="192">
        <f t="shared" si="74" ref="BM6:BM11">$BM$5*BK6</f>
        <v>0.024405738796550586</v>
      </c>
      <c r="BN6" s="192">
        <f t="shared" si="75" ref="BN6:BN11">$BN$5*BK6</f>
        <v>0.027993771143860095</v>
      </c>
      <c r="BO6" s="192">
        <f t="shared" si="76" ref="BO6:BO11">$BO$5*BK6</f>
        <v>0.02140620093187735</v>
      </c>
      <c r="BP6" s="192">
        <f t="shared" si="77" ref="BP6:BP11">$BP$5*BK6</f>
        <v>0.012276626717629902</v>
      </c>
      <c r="BQ6" s="192">
        <f t="shared" si="78" ref="BQ6:BQ11">$BQ$5*BK6</f>
        <v>0.005632594556826161</v>
      </c>
      <c r="BR6" s="192">
        <f>SUM(BP6:BQ9,BQ10,BO6,BO7,BO8,BN7,BN6,BM6)*100</f>
        <v>38.25261892174242</v>
      </c>
      <c r="BS6" s="192"/>
      <c r="BT6" s="206">
        <v>0.5</v>
      </c>
      <c r="BU6" s="192">
        <f>BL6</f>
        <v>0.010638796808483886</v>
      </c>
      <c r="BV6" s="192">
        <f>(BW6-BU6)</f>
        <v>0.9331900239791964</v>
      </c>
      <c r="BW6" s="204">
        <f>SUM(BL6:BQ11)</f>
        <v>0.9438288207876803</v>
      </c>
      <c r="BX6">
        <f t="shared" si="31"/>
        <v>3.0</v>
      </c>
      <c r="BY6">
        <f>SUM(BS2,BT2,BU2,BV2)</f>
        <v>80.50908584355923</v>
      </c>
      <c r="BZ6">
        <f t="shared" si="15"/>
        <v>11.444076822761701</v>
      </c>
      <c r="CA6">
        <f>IF(AND(CA4&gt;CA3,CA5),2.5,IF(AND(CA3&gt;CA4,CA5),1.5,IF(AND(CA5&gt;CA3,CA4),3.5)))</f>
        <v>2.5</v>
      </c>
      <c r="CB6" s="201">
        <v>0.0</v>
      </c>
      <c r="CC6" s="202" t="s">
        <v>81</v>
      </c>
      <c r="CD6" s="203">
        <v>1.0</v>
      </c>
      <c r="CE6" s="192">
        <f t="shared" si="48"/>
        <v>9.593761275089209</v>
      </c>
      <c r="CF6" s="204">
        <f t="shared" si="49"/>
        <v>4.0</v>
      </c>
      <c r="CG6" t="str">
        <f>IF(CF5=1,"draw",IF(CF6=1,"away",IF(CF7=1,"draw 1-1",IF(CF8=1,"home",IF(CF9=1,"away 0-2",IF(CF10=1,"away 1-2",IF(CF11=1,"home 2-1","rountime")))))))</f>
        <v>home</v>
      </c>
      <c r="CH6" t="str">
        <f t="shared" si="79" ref="CH6:CH9">IF(OR(CG6="away",CG6="home",CG6="draw"),"small",IF(OR(CG6="away",CG6="home",CG6="draw",CG6="draw 1-1",CG6="away 0-2"),"under",IF(CG6="rountime","RT",0)))</f>
        <v>small</v>
      </c>
      <c r="CI6" s="195">
        <v>0.0</v>
      </c>
      <c r="CJ6" s="206">
        <f t="shared" si="80" ref="CJ6:CJ11">POISSON(CI6,$C$8,FALSE)</f>
        <v>0.2667056534665431</v>
      </c>
      <c r="CK6" s="207">
        <f t="shared" si="81" ref="CK6:CK11">$CK$5*CJ6</f>
        <v>0.11950245212959487</v>
      </c>
      <c r="CL6" s="192">
        <f t="shared" si="82" ref="CL6:CL11">$CL$5*CJ6</f>
        <v>0.09593761275089209</v>
      </c>
      <c r="CM6" s="192">
        <f t="shared" si="83" ref="CM6:CM11">$CM$5*CJ6</f>
        <v>0.038509776897125064</v>
      </c>
      <c r="CN6" s="192">
        <f t="shared" si="84" ref="CN6:CN11">$CN$5*CJ6</f>
        <v>0.01030532846046562</v>
      </c>
      <c r="CO6" s="192">
        <f t="shared" si="85" ref="CO6:CO11">$CO$5*CJ6</f>
        <v>0.0020683019333334117</v>
      </c>
      <c r="CP6" s="192">
        <f t="shared" si="86" ref="CP6:CP11">$CP$5*CJ6</f>
        <v>3.320901728725645E-4</v>
      </c>
      <c r="CQ6" s="192">
        <f>SUM(CO6:CP9,CP10,CN6,CN7,CN8,CM7,CM6,CL6)*100</f>
        <v>22.690196430100507</v>
      </c>
      <c r="CR6" s="192"/>
      <c r="CS6" s="206">
        <v>0.5</v>
      </c>
      <c r="CT6" s="192">
        <f>CK6</f>
        <v>0.11950245212959487</v>
      </c>
      <c r="CU6" s="192">
        <f>(CV6-CT6)</f>
        <v>0.8778916843353947</v>
      </c>
      <c r="CV6" s="204">
        <f>SUM(CK6:CP11)</f>
        <v>0.9973941364649895</v>
      </c>
      <c r="CW6">
        <f t="shared" si="34"/>
        <v>3.0</v>
      </c>
      <c r="CX6">
        <f>SUM(CR2,CS2,CT2,CU2)</f>
        <v>97.69580069490061</v>
      </c>
      <c r="CY6">
        <f t="shared" si="18"/>
        <v>1.8336540045900023</v>
      </c>
      <c r="CZ6">
        <f>IF(AND(CZ4&gt;CZ3,CZ5),2.5,IF(AND(CZ3&gt;CZ4,CZ5),1.5,IF(AND(CZ5&gt;CZ3,CZ4),3.5)))</f>
        <v>1.5</v>
      </c>
      <c r="DA6" s="201">
        <v>0.0</v>
      </c>
      <c r="DB6" s="202" t="s">
        <v>81</v>
      </c>
      <c r="DC6" s="203">
        <v>1.0</v>
      </c>
      <c r="DD6" s="192" t="e">
        <f t="shared" si="51"/>
        <v>#N/A</v>
      </c>
      <c r="DE6" s="204" t="e">
        <f t="shared" si="52"/>
        <v>#N/A</v>
      </c>
      <c r="DF6" t="e">
        <f>IF(DE5=1,"draw",IF(DE6=1,"away",IF(DE7=1,"draw 1-1",IF(DE8=1,"home",IF(DE9=1,"away 0-2",IF(DE10=1,"away 1-2",IF(DE11=1,"home 2-1","rountime")))))))</f>
        <v>#N/A</v>
      </c>
      <c r="DG6" t="e">
        <f t="shared" si="87" ref="DG6:DG9">IF(OR(DF6="away",DF6="home",DF6="draw"),"small",IF(OR(DF6="away",DF6="home",DF6="draw",DF6="draw 1-1",DF6="away 0-2"),"under",IF(DF6="rountime","RT",0)))</f>
        <v>#N/A</v>
      </c>
      <c r="DH6" s="195">
        <v>0.0</v>
      </c>
      <c r="DI6" s="206" t="e">
        <f t="shared" si="88" ref="DI6:DI11">POISSON(DH6,$C$9,FALSE)</f>
        <v>#N/A</v>
      </c>
      <c r="DJ6" s="207" t="e">
        <f t="shared" si="89" ref="DJ6:DJ11">$DJ$5*DI6</f>
        <v>#N/A</v>
      </c>
      <c r="DK6" s="192" t="e">
        <f t="shared" si="90" ref="DK6:DK11">$DK$5*DI6</f>
        <v>#N/A</v>
      </c>
      <c r="DL6" s="192" t="e">
        <f t="shared" si="91" ref="DL6:DL11">$DL$5*DI6</f>
        <v>#N/A</v>
      </c>
      <c r="DM6" s="192" t="e">
        <f t="shared" si="92" ref="DM6:DM11">$DM$5*DI6</f>
        <v>#N/A</v>
      </c>
      <c r="DN6" s="192" t="e">
        <f t="shared" si="93" ref="DN6:DN11">$DN$5*DI6</f>
        <v>#N/A</v>
      </c>
      <c r="DO6" s="192" t="e">
        <f t="shared" si="94" ref="DO6:DO11">$DO$5*DI6</f>
        <v>#N/A</v>
      </c>
      <c r="DP6" s="192" t="e">
        <f>SUM(DN6:DO9,DO10,DM6,DM7,DM8,DL7,DL6,DK6)*100</f>
        <v>#N/A</v>
      </c>
      <c r="DQ6" s="192"/>
      <c r="DR6" s="206">
        <v>0.5</v>
      </c>
      <c r="DS6" s="192" t="e">
        <f>DJ6</f>
        <v>#N/A</v>
      </c>
      <c r="DT6" s="192" t="e">
        <f>(DU6-DS6)</f>
        <v>#N/A</v>
      </c>
      <c r="DU6" s="204" t="e">
        <f>SUM(DJ6:DO11)</f>
        <v>#N/A</v>
      </c>
      <c r="DV6">
        <f t="shared" si="37"/>
        <v>3.0</v>
      </c>
      <c r="DW6" t="e">
        <f>SUM(DQ2,DR2,DS2,DT2)</f>
        <v>#N/A</v>
      </c>
      <c r="DX6" t="e">
        <f t="shared" si="21"/>
        <v>#N/A</v>
      </c>
      <c r="DY6" t="e">
        <f>IF(AND(DY4&gt;DY3,DY5),2.5,IF(AND(DY3&gt;DY4,DY5),1.5,IF(AND(DY5&gt;DY3,DY4),3.5)))</f>
        <v>#N/A</v>
      </c>
    </row>
    <row r="7" spans="8:8" ht="15.0">
      <c r="B7">
        <f t="shared" si="54"/>
        <v>3.0</v>
      </c>
      <c r="C7">
        <f>Sheet1!N52</f>
        <v>2.249216026584849</v>
      </c>
      <c r="D7">
        <f>Sheet1!O52</f>
        <v>2.29403185678744</v>
      </c>
      <c r="E7" s="201">
        <v>1.0</v>
      </c>
      <c r="F7" s="202" t="s">
        <v>81</v>
      </c>
      <c r="G7" s="203">
        <v>1.0</v>
      </c>
      <c r="H7" s="192">
        <f t="shared" si="38"/>
        <v>12.679207482575878</v>
      </c>
      <c r="I7" s="204">
        <f t="shared" si="39"/>
        <v>2.0</v>
      </c>
      <c r="J7" t="str">
        <f>IF(I5=2,"draw",IF(I6=2,"away",IF(I7=2,"draw 1-1",IF(I8=2,"home",IF(I9=2,"away 0-2",IF(I10=2,"away 1-2",IF(I11=2,"home 2-1","rountime")))))))</f>
        <v>draw 1-1</v>
      </c>
      <c r="K7" t="str">
        <f t="shared" si="55"/>
        <v>under</v>
      </c>
      <c r="L7" s="195">
        <f t="shared" si="95" ref="L7:L11">L6+1</f>
        <v>1.0</v>
      </c>
      <c r="M7" s="206">
        <f t="shared" si="56"/>
        <v>0.35248076537602174</v>
      </c>
      <c r="N7" s="192">
        <f t="shared" si="57"/>
        <v>0.15793559395333565</v>
      </c>
      <c r="O7" s="207">
        <f t="shared" si="58"/>
        <v>0.12679207482575877</v>
      </c>
      <c r="P7" s="192">
        <f t="shared" si="59"/>
        <v>0.050894892773097014</v>
      </c>
      <c r="Q7" s="192">
        <f t="shared" si="60"/>
        <v>0.01361962154151296</v>
      </c>
      <c r="R7" s="192">
        <f t="shared" si="61"/>
        <v>0.0027334877945567075</v>
      </c>
      <c r="S7" s="192">
        <f t="shared" si="62"/>
        <v>4.3889357719468407E-4</v>
      </c>
      <c r="T7" s="192"/>
      <c r="U7" s="192"/>
      <c r="V7" s="206">
        <f t="shared" si="96" ref="V7:V10">V6+1</f>
        <v>1.5</v>
      </c>
      <c r="W7" s="192">
        <f>SUM(N6,O6,N7)</f>
        <v>0.3733756588338226</v>
      </c>
      <c r="X7" s="192">
        <f>(Y6-W7)</f>
        <v>0.6240184776311669</v>
      </c>
      <c r="Y7" s="204"/>
      <c r="Z7">
        <f t="shared" si="25"/>
        <v>4.0</v>
      </c>
      <c r="AA7">
        <f>SUM(U2,V2,W2,X2,Y2)</f>
        <v>99.52945469949061</v>
      </c>
      <c r="AC7" s="208">
        <f>IF(AC6=AC44,AC6+1,AC6+AC44+0.5)</f>
        <v>4.5</v>
      </c>
      <c r="AD7" s="201">
        <v>1.0</v>
      </c>
      <c r="AE7" s="202">
        <f t="shared" si="41"/>
        <v>2.0</v>
      </c>
      <c r="AF7" s="203">
        <v>1.0</v>
      </c>
      <c r="AG7" s="192">
        <f t="shared" si="42"/>
        <v>5.48937788418452</v>
      </c>
      <c r="AH7" s="204">
        <f t="shared" si="43"/>
        <v>4.0</v>
      </c>
      <c r="AI7" t="str">
        <f>IF(AH5=2,"draw",IF(AH6=2,"away",IF(AH7=2,"draw 1-1",IF(AH8=2,"home",IF(AH9=2,"away 0-2",IF(AH10=2,"away 1-2",IF(AH11=2,"home 2-1","rountime")))))))</f>
        <v>away 1-2</v>
      </c>
      <c r="AJ7">
        <f t="shared" si="63"/>
        <v>0.0</v>
      </c>
      <c r="AK7" s="195">
        <f t="shared" si="97" ref="AK7:AK11">AK6+1</f>
        <v>1.0</v>
      </c>
      <c r="AL7" s="206">
        <f t="shared" si="64"/>
        <v>0.23725155109287022</v>
      </c>
      <c r="AM7" s="207">
        <f t="shared" si="65"/>
        <v>0.0239289522852217</v>
      </c>
      <c r="AN7" s="192">
        <f t="shared" si="66"/>
        <v>0.05489377884184521</v>
      </c>
      <c r="AO7" s="192">
        <f t="shared" si="67"/>
        <v>0.06296403870131861</v>
      </c>
      <c r="AP7" s="192">
        <f t="shared" si="68"/>
        <v>0.048147170204274066</v>
      </c>
      <c r="AQ7" s="192">
        <f t="shared" si="69"/>
        <v>0.027612785565692927</v>
      </c>
      <c r="AR7" s="192">
        <f t="shared" si="70"/>
        <v>0.012668921948467988</v>
      </c>
      <c r="AS7" s="192"/>
      <c r="AT7" s="192"/>
      <c r="AU7" s="206">
        <f t="shared" si="98" ref="AU7:AU10">AU6+1</f>
        <v>1.5</v>
      </c>
      <c r="AV7" s="192">
        <f>SUM(AM6,AN6,AM7)</f>
        <v>0.058973487890256165</v>
      </c>
      <c r="AW7" s="192">
        <f>(AX6-AV7)</f>
        <v>0.8848553328974241</v>
      </c>
      <c r="AX7" s="204"/>
      <c r="AY7">
        <f t="shared" si="28"/>
        <v>4.0</v>
      </c>
      <c r="AZ7">
        <f>SUM(AT2,AU2,AV2,AW2,AX2)</f>
        <v>91.95316266632086</v>
      </c>
      <c r="BB7" s="208">
        <f>IF(BB6=BB44,BB6+1,BB6+BB44+0.5)</f>
        <v>4.5</v>
      </c>
      <c r="BC7" s="201">
        <v>1.0</v>
      </c>
      <c r="BD7" s="202" t="s">
        <v>81</v>
      </c>
      <c r="BE7" s="203">
        <v>1.0</v>
      </c>
      <c r="BF7" s="192">
        <f t="shared" si="45"/>
        <v>5.48937788418452</v>
      </c>
      <c r="BG7" s="204">
        <f t="shared" si="46"/>
        <v>4.0</v>
      </c>
      <c r="BH7" t="str">
        <f>IF(BG5=2,"draw",IF(BG6=2,"away",IF(BG7=2,"draw 1-1",IF(BG8=2,"home",IF(BG9=2,"away 0-2",IF(BG10=2,"away 1-2",IF(BG11=2,"home 2-1","rountime")))))))</f>
        <v>away 1-2</v>
      </c>
      <c r="BI7">
        <f t="shared" si="71"/>
        <v>0.0</v>
      </c>
      <c r="BJ7" s="195">
        <f t="shared" si="99" ref="BJ7:BJ11">BJ6+1</f>
        <v>1.0</v>
      </c>
      <c r="BK7" s="206">
        <f t="shared" si="72"/>
        <v>0.23725155109287022</v>
      </c>
      <c r="BL7" s="207">
        <f t="shared" si="73"/>
        <v>0.0239289522852217</v>
      </c>
      <c r="BM7" s="192">
        <f t="shared" si="74"/>
        <v>0.05489377884184521</v>
      </c>
      <c r="BN7" s="192">
        <f t="shared" si="75"/>
        <v>0.06296403870131861</v>
      </c>
      <c r="BO7" s="192">
        <f t="shared" si="76"/>
        <v>0.048147170204274066</v>
      </c>
      <c r="BP7" s="192">
        <f t="shared" si="77"/>
        <v>0.027612785565692927</v>
      </c>
      <c r="BQ7" s="192">
        <f t="shared" si="78"/>
        <v>0.012668921948467988</v>
      </c>
      <c r="BR7" s="192"/>
      <c r="BS7" s="192"/>
      <c r="BT7" s="206">
        <f t="shared" si="100" ref="BT7:BT10">BT6+1</f>
        <v>1.5</v>
      </c>
      <c r="BU7" s="192">
        <f>SUM(BL6,BM6,BL7)</f>
        <v>0.058973487890256165</v>
      </c>
      <c r="BV7" s="192">
        <f>(BW6-BU7)</f>
        <v>0.8848553328974241</v>
      </c>
      <c r="BW7" s="204"/>
      <c r="BX7">
        <f t="shared" si="31"/>
        <v>4.0</v>
      </c>
      <c r="BY7">
        <f>SUM(BS2,BT2,BU2,BV2,BW2)</f>
        <v>91.95316266632086</v>
      </c>
      <c r="CA7" s="208">
        <f>IF(CA6=CA44,CA6+1,CA6+CA44+0.5)</f>
        <v>4.5</v>
      </c>
      <c r="CB7" s="201">
        <v>1.0</v>
      </c>
      <c r="CC7" s="202" t="s">
        <v>81</v>
      </c>
      <c r="CD7" s="203">
        <v>1.0</v>
      </c>
      <c r="CE7" s="192">
        <f t="shared" si="48"/>
        <v>12.679207482575878</v>
      </c>
      <c r="CF7" s="204">
        <f t="shared" si="49"/>
        <v>2.0</v>
      </c>
      <c r="CG7" t="str">
        <f>IF(CF5=2,"draw",IF(CF6=2,"away",IF(CF7=2,"draw 1-1",IF(CF8=2,"home",IF(CF9=2,"away 0-2",IF(CF10=2,"away 1-2",IF(CF11=2,"home 2-1","rountime")))))))</f>
        <v>draw 1-1</v>
      </c>
      <c r="CH7" t="str">
        <f t="shared" si="79"/>
        <v>under</v>
      </c>
      <c r="CI7" s="195">
        <f t="shared" si="101" ref="CI7:CI11">CI6+1</f>
        <v>1.0</v>
      </c>
      <c r="CJ7" s="206">
        <f t="shared" si="80"/>
        <v>0.35248076537602174</v>
      </c>
      <c r="CK7" s="207">
        <f t="shared" si="81"/>
        <v>0.15793559395333565</v>
      </c>
      <c r="CL7" s="192">
        <f t="shared" si="82"/>
        <v>0.12679207482575877</v>
      </c>
      <c r="CM7" s="192">
        <f t="shared" si="83"/>
        <v>0.050894892773097014</v>
      </c>
      <c r="CN7" s="192">
        <f t="shared" si="84"/>
        <v>0.01361962154151296</v>
      </c>
      <c r="CO7" s="192">
        <f t="shared" si="85"/>
        <v>0.0027334877945567075</v>
      </c>
      <c r="CP7" s="192">
        <f t="shared" si="86"/>
        <v>4.3889357719468407E-4</v>
      </c>
      <c r="CQ7" s="192"/>
      <c r="CR7" s="192"/>
      <c r="CS7" s="206">
        <f t="shared" si="102" ref="CS7:CS10">CS6+1</f>
        <v>1.5</v>
      </c>
      <c r="CT7" s="192">
        <f>SUM(CK6,CL6,CK7)</f>
        <v>0.3733756588338226</v>
      </c>
      <c r="CU7" s="192">
        <f>(CV6-CT7)</f>
        <v>0.6240184776311669</v>
      </c>
      <c r="CV7" s="204"/>
      <c r="CW7">
        <f t="shared" si="34"/>
        <v>4.0</v>
      </c>
      <c r="CX7">
        <f>SUM(CR2,CS2,CT2,CU2,CV2)</f>
        <v>99.52945469949061</v>
      </c>
      <c r="CZ7" s="208">
        <f>IF(CZ6=CZ44,CZ6+1,CZ6+CZ44+0.5)</f>
        <v>4.5</v>
      </c>
      <c r="DA7" s="201">
        <v>1.0</v>
      </c>
      <c r="DB7" s="202" t="s">
        <v>81</v>
      </c>
      <c r="DC7" s="203">
        <v>1.0</v>
      </c>
      <c r="DD7" s="192" t="e">
        <f t="shared" si="51"/>
        <v>#N/A</v>
      </c>
      <c r="DE7" s="204" t="e">
        <f t="shared" si="52"/>
        <v>#N/A</v>
      </c>
      <c r="DF7" t="e">
        <f>IF(DE5=2,"draw",IF(DE6=2,"away",IF(DE7=2,"draw 1-1",IF(DE8=2,"home",IF(DE9=2,"away 0-2",IF(DE10=2,"away 1-2",IF(DE11=2,"home 2-1","rountime")))))))</f>
        <v>#N/A</v>
      </c>
      <c r="DG7" t="e">
        <f t="shared" si="87"/>
        <v>#N/A</v>
      </c>
      <c r="DH7" s="195">
        <f t="shared" si="103" ref="DH7:DH11">DH6+1</f>
        <v>1.0</v>
      </c>
      <c r="DI7" s="206" t="e">
        <f t="shared" si="88"/>
        <v>#N/A</v>
      </c>
      <c r="DJ7" s="207" t="e">
        <f t="shared" si="89"/>
        <v>#N/A</v>
      </c>
      <c r="DK7" s="192" t="e">
        <f t="shared" si="90"/>
        <v>#N/A</v>
      </c>
      <c r="DL7" s="192" t="e">
        <f t="shared" si="91"/>
        <v>#N/A</v>
      </c>
      <c r="DM7" s="192" t="e">
        <f t="shared" si="92"/>
        <v>#N/A</v>
      </c>
      <c r="DN7" s="192" t="e">
        <f t="shared" si="93"/>
        <v>#N/A</v>
      </c>
      <c r="DO7" s="192" t="e">
        <f t="shared" si="94"/>
        <v>#N/A</v>
      </c>
      <c r="DP7" s="192"/>
      <c r="DQ7" s="192"/>
      <c r="DR7" s="206">
        <f t="shared" si="104" ref="DR7:DR10">DR6+1</f>
        <v>1.5</v>
      </c>
      <c r="DS7" s="192" t="e">
        <f>SUM(DJ6,DK6,DJ7)</f>
        <v>#N/A</v>
      </c>
      <c r="DT7" s="192" t="e">
        <f>(DU6-DS7)</f>
        <v>#N/A</v>
      </c>
      <c r="DU7" s="204"/>
      <c r="DV7">
        <f t="shared" si="37"/>
        <v>4.0</v>
      </c>
      <c r="DW7" t="e">
        <f>SUM(DQ2,DR2,DS2,DT2,DU2)</f>
        <v>#N/A</v>
      </c>
      <c r="DY7" s="208" t="e">
        <f>IF(DY6=DY44,DY6+1,DY6+DY44+0.5)</f>
        <v>#N/A</v>
      </c>
    </row>
    <row r="8" spans="8:8" ht="15.0">
      <c r="B8">
        <f t="shared" si="54"/>
        <v>4.0</v>
      </c>
      <c r="C8">
        <f>Sheet1!R52</f>
        <v>1.3216096501690342</v>
      </c>
      <c r="D8">
        <f>Sheet1!S52</f>
        <v>0.8028087377391403</v>
      </c>
      <c r="E8" s="201">
        <v>1.0</v>
      </c>
      <c r="F8" s="202" t="s">
        <v>81</v>
      </c>
      <c r="G8" s="203">
        <v>0.0</v>
      </c>
      <c r="H8" s="192">
        <f t="shared" si="38"/>
        <v>15.793559395333565</v>
      </c>
      <c r="I8" s="204">
        <f t="shared" si="39"/>
        <v>1.0</v>
      </c>
      <c r="J8" t="str">
        <f>IF(I5=3,"draw",IF(I6=3,"away",IF(I7=3,"draw 1-1",IF(I8=3,"home",IF(I9=3,"away 0-2",IF(I10=3,"away 1-2",IF(I11=3,"home 2-1","rountime")))))))</f>
        <v>draw</v>
      </c>
      <c r="K8" t="str">
        <f t="shared" si="55"/>
        <v>small</v>
      </c>
      <c r="L8" s="195">
        <f t="shared" si="95"/>
        <v>2.0</v>
      </c>
      <c r="M8" s="206">
        <f t="shared" si="56"/>
        <v>0.23292099050995876</v>
      </c>
      <c r="N8" s="192">
        <f t="shared" si="57"/>
        <v>0.10436460253695327</v>
      </c>
      <c r="O8" s="192">
        <f t="shared" si="58"/>
        <v>0.08378481482733853</v>
      </c>
      <c r="P8" s="207">
        <f t="shared" si="59"/>
        <v>0.033631590716621626</v>
      </c>
      <c r="Q8" s="192">
        <f t="shared" si="60"/>
        <v>0.008999911630456792</v>
      </c>
      <c r="R8" s="192">
        <f t="shared" si="61"/>
        <v>0.0018063019239527075</v>
      </c>
      <c r="S8" s="192">
        <f t="shared" si="62"/>
        <v>2.900229935088512E-4</v>
      </c>
      <c r="T8" s="209" t="str">
        <f>IF(T2&lt;0.6,"low",IF(T2&lt;1.38,"medium","high"))</f>
        <v>medium</v>
      </c>
      <c r="U8" s="192"/>
      <c r="V8" s="206">
        <f t="shared" si="96"/>
        <v>2.5</v>
      </c>
      <c r="W8" s="192">
        <f>SUM(N6,O6,P6,N7,N8,O7)</f>
        <v>0.6430421130936597</v>
      </c>
      <c r="X8" s="192">
        <f>(Y6-W8)</f>
        <v>0.35435202337132987</v>
      </c>
      <c r="Y8" s="204">
        <f t="shared" si="105" ref="Y8:Y12">(X6/$Y$16)*100</f>
        <v>35.20741308734214</v>
      </c>
      <c r="Z8" t="s">
        <v>85</v>
      </c>
      <c r="AA8">
        <f>Z2-AA7</f>
        <v>0.4705260372822977</v>
      </c>
      <c r="AB8" t="str">
        <f>IF(AA9&lt;0.6,"Under",IF(AA9&lt;0.9,"under+",IF(AND(AA8&lt;0.9,AA9&gt;1,AA9&lt;2.9),"under",IF(AND(AA8&lt;1.5,AA9&gt;0.9,AA9&lt;1.75),"under+","over"))))</f>
        <v>Under</v>
      </c>
      <c r="AC8">
        <f>AVERAGE(AC6,AC7,AC44)+0.666667</f>
        <v>3.50000033333333</v>
      </c>
      <c r="AD8" s="201">
        <v>1.0</v>
      </c>
      <c r="AE8" s="202">
        <f t="shared" si="41"/>
        <v>1.0</v>
      </c>
      <c r="AF8" s="203">
        <v>0.0</v>
      </c>
      <c r="AG8" s="192">
        <f t="shared" si="42"/>
        <v>2.39289522852217</v>
      </c>
      <c r="AH8" s="204">
        <f t="shared" si="43"/>
        <v>16.0</v>
      </c>
      <c r="AI8" t="str">
        <f>IF(AH5=3,"draw",IF(AH6=3,"away",IF(AH7=3,"draw 1-1",IF(AH8=3,"home",IF(AH9=3,"away 0-2",IF(AH10=3,"away 1-2",IF(AH11=3,"home 2-1","rountime")))))))</f>
        <v>home 2-1</v>
      </c>
      <c r="AJ8">
        <f t="shared" si="63"/>
        <v>0.0</v>
      </c>
      <c r="AK8" s="195">
        <f t="shared" si="97"/>
        <v>2.0</v>
      </c>
      <c r="AL8" s="206">
        <f t="shared" si="64"/>
        <v>0.26681499552509896</v>
      </c>
      <c r="AM8" s="207">
        <f t="shared" si="65"/>
        <v>0.026910691489652402</v>
      </c>
      <c r="AN8" s="192">
        <f t="shared" si="66"/>
        <v>0.061733983565441276</v>
      </c>
      <c r="AO8" s="192">
        <f t="shared" si="67"/>
        <v>0.07080986247275727</v>
      </c>
      <c r="AP8" s="192">
        <f t="shared" si="68"/>
        <v>0.054146693429080885</v>
      </c>
      <c r="AQ8" s="192">
        <f t="shared" si="69"/>
        <v>0.031053559916503666</v>
      </c>
      <c r="AR8" s="192">
        <f t="shared" si="70"/>
        <v>0.014247571143023377</v>
      </c>
      <c r="AS8" s="209" t="str">
        <f>IF(AS2&lt;0.6,"low",IF(AS2&lt;1.38,"medium","high"))</f>
        <v>high</v>
      </c>
      <c r="AT8" s="192"/>
      <c r="AU8" s="206">
        <f t="shared" si="98"/>
        <v>2.5</v>
      </c>
      <c r="AV8" s="192">
        <f>SUM(AM6,AN6,AO6,AM7,AM8,AN7)</f>
        <v>0.16877172936561385</v>
      </c>
      <c r="AW8" s="192">
        <f>(AX6-AV8)</f>
        <v>0.7750570914220665</v>
      </c>
      <c r="AX8" s="204">
        <f t="shared" si="106" ref="AX8:AX12">(AW6/$AX$16)*100</f>
        <v>39.549121765550446</v>
      </c>
      <c r="AY8" t="s">
        <v>85</v>
      </c>
      <c r="AZ8">
        <f>AY2-AZ7</f>
        <v>8.033798018700296</v>
      </c>
      <c r="BA8" t="str">
        <f>IF(AZ9&lt;0.6,"Under",IF(AZ9&lt;0.9,"under+",IF(AND(AZ8&lt;0.9,AZ9&gt;1,AZ9&lt;2.9),"under",IF(AND(AZ8&lt;1.5,AZ9&gt;0.9,AZ9&lt;1.75),"under+","over"))))</f>
        <v>over</v>
      </c>
      <c r="BB8">
        <f>AVERAGE(BB6,BB7,BB44)+0.666667</f>
        <v>3.50000033333333</v>
      </c>
      <c r="BC8" s="201">
        <v>1.0</v>
      </c>
      <c r="BD8" s="202" t="s">
        <v>81</v>
      </c>
      <c r="BE8" s="203">
        <v>0.0</v>
      </c>
      <c r="BF8" s="192">
        <f t="shared" si="45"/>
        <v>2.39289522852217</v>
      </c>
      <c r="BG8" s="204">
        <f t="shared" si="46"/>
        <v>16.0</v>
      </c>
      <c r="BH8" t="str">
        <f>IF(BG5=3,"draw",IF(BG6=3,"away",IF(BG7=3,"draw 1-1",IF(BG8=3,"home",IF(BG9=3,"away 0-2",IF(BG10=3,"away 1-2",IF(BG11=3,"home 2-1","rountime")))))))</f>
        <v>home 2-1</v>
      </c>
      <c r="BI8">
        <f t="shared" si="71"/>
        <v>0.0</v>
      </c>
      <c r="BJ8" s="195">
        <f t="shared" si="99"/>
        <v>2.0</v>
      </c>
      <c r="BK8" s="206">
        <f t="shared" si="72"/>
        <v>0.26681499552509896</v>
      </c>
      <c r="BL8" s="207">
        <f t="shared" si="73"/>
        <v>0.026910691489652402</v>
      </c>
      <c r="BM8" s="192">
        <f t="shared" si="74"/>
        <v>0.061733983565441276</v>
      </c>
      <c r="BN8" s="192">
        <f t="shared" si="75"/>
        <v>0.07080986247275727</v>
      </c>
      <c r="BO8" s="192">
        <f t="shared" si="76"/>
        <v>0.054146693429080885</v>
      </c>
      <c r="BP8" s="192">
        <f t="shared" si="77"/>
        <v>0.031053559916503666</v>
      </c>
      <c r="BQ8" s="192">
        <f t="shared" si="78"/>
        <v>0.014247571143023377</v>
      </c>
      <c r="BR8" s="209" t="str">
        <f>IF(BR2&lt;0.6,"low",IF(BR2&lt;1.38,"medium","high"))</f>
        <v>high</v>
      </c>
      <c r="BS8" s="192"/>
      <c r="BT8" s="206">
        <f t="shared" si="100"/>
        <v>2.5</v>
      </c>
      <c r="BU8" s="192">
        <f>SUM(BL6,BM6,BN6,BL7,BL8,BM7)</f>
        <v>0.16877172936561385</v>
      </c>
      <c r="BV8" s="192">
        <f>(BW6-BU8)</f>
        <v>0.7750570914220665</v>
      </c>
      <c r="BW8" s="204"/>
      <c r="BX8" t="s">
        <v>85</v>
      </c>
      <c r="BY8">
        <f>BX2-BY7</f>
        <v>8.033798018700296</v>
      </c>
      <c r="BZ8" t="str">
        <f>IF(BY9&lt;0.6,"Under",IF(BY9&lt;0.9,"under+",IF(AND(BY8&lt;0.9,BY9&gt;1,BY9&lt;2.9),"under",IF(AND(BY8&lt;1.5,BY9&gt;0.9,BY9&lt;1.75),"under+","over"))))</f>
        <v>over</v>
      </c>
      <c r="CA8">
        <f>AVERAGE(CA6,CA7,CA44)+0.666667</f>
        <v>3.50000033333333</v>
      </c>
      <c r="CB8" s="201">
        <v>1.0</v>
      </c>
      <c r="CC8" s="202" t="s">
        <v>81</v>
      </c>
      <c r="CD8" s="203">
        <v>0.0</v>
      </c>
      <c r="CE8" s="192">
        <f t="shared" si="48"/>
        <v>15.793559395333565</v>
      </c>
      <c r="CF8" s="204">
        <f t="shared" si="49"/>
        <v>1.0</v>
      </c>
      <c r="CG8" t="str">
        <f>IF(CF5=3,"draw",IF(CF6=3,"away",IF(CF7=3,"draw 1-1",IF(CF8=3,"home",IF(CF9=3,"away 0-2",IF(CF10=3,"away 1-2",IF(CF11=3,"home 2-1","rountime")))))))</f>
        <v>draw</v>
      </c>
      <c r="CH8" t="str">
        <f t="shared" si="79"/>
        <v>small</v>
      </c>
      <c r="CI8" s="195">
        <f t="shared" si="101"/>
        <v>2.0</v>
      </c>
      <c r="CJ8" s="206">
        <f t="shared" si="80"/>
        <v>0.23292099050995876</v>
      </c>
      <c r="CK8" s="207">
        <f t="shared" si="81"/>
        <v>0.10436460253695327</v>
      </c>
      <c r="CL8" s="192">
        <f t="shared" si="82"/>
        <v>0.08378481482733853</v>
      </c>
      <c r="CM8" s="192">
        <f t="shared" si="83"/>
        <v>0.033631590716621626</v>
      </c>
      <c r="CN8" s="192">
        <f t="shared" si="84"/>
        <v>0.008999911630456792</v>
      </c>
      <c r="CO8" s="192">
        <f t="shared" si="85"/>
        <v>0.0018063019239527075</v>
      </c>
      <c r="CP8" s="192">
        <f t="shared" si="86"/>
        <v>2.900229935088512E-4</v>
      </c>
      <c r="CQ8" s="209" t="str">
        <f>IF(CQ2&lt;0.6,"low",IF(CQ2&lt;1.38,"medium","high"))</f>
        <v>medium</v>
      </c>
      <c r="CR8" s="192"/>
      <c r="CS8" s="206">
        <f t="shared" si="102"/>
        <v>2.5</v>
      </c>
      <c r="CT8" s="192">
        <f>SUM(CK6,CL6,CM6,CK7,CK8,CL7)</f>
        <v>0.6430421130936597</v>
      </c>
      <c r="CU8" s="192">
        <f>(CV6-CT8)</f>
        <v>0.35435202337132987</v>
      </c>
      <c r="CV8" s="204"/>
      <c r="CW8" t="s">
        <v>85</v>
      </c>
      <c r="CX8">
        <f>CW2-CX7</f>
        <v>0.4705260372822977</v>
      </c>
      <c r="CY8" t="str">
        <f>IF(CX9&lt;0.6,"Under",IF(CX9&lt;0.9,"under+",IF(AND(CX8&lt;0.9,CX9&gt;1,CX9&lt;2.9),"under",IF(AND(CX8&lt;1.5,CX9&gt;0.9,CX9&lt;1.75),"under+","over"))))</f>
        <v>over</v>
      </c>
      <c r="CZ8">
        <f>AVERAGE(CZ6,CZ7,CZ44)+0.666667</f>
        <v>3.50000033333333</v>
      </c>
      <c r="DA8" s="201">
        <v>1.0</v>
      </c>
      <c r="DB8" s="202" t="s">
        <v>81</v>
      </c>
      <c r="DC8" s="203">
        <v>0.0</v>
      </c>
      <c r="DD8" s="192" t="e">
        <f t="shared" si="51"/>
        <v>#N/A</v>
      </c>
      <c r="DE8" s="204" t="e">
        <f t="shared" si="52"/>
        <v>#N/A</v>
      </c>
      <c r="DF8" t="e">
        <f>IF(DE5=3,"draw",IF(DE6=3,"away",IF(DE7=3,"draw 1-1",IF(DE8=3,"home",IF(DE9=3,"away 0-2",IF(DE10=3,"away 1-2",IF(DE11=3,"home 2-1","rountime")))))))</f>
        <v>#N/A</v>
      </c>
      <c r="DG8" t="e">
        <f t="shared" si="87"/>
        <v>#N/A</v>
      </c>
      <c r="DH8" s="195">
        <f t="shared" si="103"/>
        <v>2.0</v>
      </c>
      <c r="DI8" s="206" t="e">
        <f t="shared" si="88"/>
        <v>#N/A</v>
      </c>
      <c r="DJ8" s="207" t="e">
        <f t="shared" si="89"/>
        <v>#N/A</v>
      </c>
      <c r="DK8" s="192" t="e">
        <f t="shared" si="90"/>
        <v>#N/A</v>
      </c>
      <c r="DL8" s="192" t="e">
        <f t="shared" si="91"/>
        <v>#N/A</v>
      </c>
      <c r="DM8" s="192" t="e">
        <f t="shared" si="92"/>
        <v>#N/A</v>
      </c>
      <c r="DN8" s="192" t="e">
        <f t="shared" si="93"/>
        <v>#N/A</v>
      </c>
      <c r="DO8" s="192" t="e">
        <f t="shared" si="94"/>
        <v>#N/A</v>
      </c>
      <c r="DP8" s="209" t="e">
        <f>IF(DP2&lt;0.6,"low",IF(DP2&lt;1.38,"medium","high"))</f>
        <v>#N/A</v>
      </c>
      <c r="DQ8" s="192"/>
      <c r="DR8" s="206">
        <f t="shared" si="104"/>
        <v>2.5</v>
      </c>
      <c r="DS8" s="192" t="e">
        <f>SUM(DJ6,DK6,DL6,DJ7,DJ8,DK7)</f>
        <v>#N/A</v>
      </c>
      <c r="DT8" s="192" t="e">
        <f>(DU6-DS8)</f>
        <v>#N/A</v>
      </c>
      <c r="DU8" s="204"/>
      <c r="DV8" t="s">
        <v>85</v>
      </c>
      <c r="DW8" t="e">
        <f>DV2-DW7</f>
        <v>#N/A</v>
      </c>
      <c r="DX8" t="e">
        <f>IF(DW9&lt;0.6,"Under",IF(DW9&lt;0.9,"under+",IF(AND(DW8&lt;0.9,DW9&gt;1,DW9&lt;2.9),"under",IF(AND(DW8&lt;1.5,DW9&gt;0.9,DW9&lt;1.75),"under+","over"))))</f>
        <v>#N/A</v>
      </c>
      <c r="DY8" t="e">
        <f>AVERAGE(DY6,DY7,DY44)+0.666667</f>
        <v>#N/A</v>
      </c>
    </row>
    <row r="9" spans="8:8" ht="15.0">
      <c r="B9">
        <f t="shared" si="54"/>
        <v>5.0</v>
      </c>
      <c r="C9" t="e">
        <f>Sheet1!V52</f>
        <v>#N/A</v>
      </c>
      <c r="D9" t="e">
        <f>Sheet1!W52</f>
        <v>#N/A</v>
      </c>
      <c r="E9" s="201">
        <v>0.0</v>
      </c>
      <c r="F9" s="202" t="s">
        <v>81</v>
      </c>
      <c r="G9" s="203">
        <v>2.0</v>
      </c>
      <c r="H9" s="192">
        <f t="shared" si="38"/>
        <v>3.8509776897125065</v>
      </c>
      <c r="I9" s="204">
        <f t="shared" si="39"/>
        <v>8.0</v>
      </c>
      <c r="J9" t="str">
        <f>IF(I5=4,"draw",IF(I6=4,"away",IF(I7=4,"draw 1-1",IF(I8=4,"home",IF(I9=4,"away 0-2",IF(I10=4,"away 1-2",IF(I11=4,"home 2-1","rountime")))))))</f>
        <v>away</v>
      </c>
      <c r="K9" t="str">
        <f t="shared" si="55"/>
        <v>small</v>
      </c>
      <c r="L9" s="195">
        <f t="shared" si="95"/>
        <v>3.0</v>
      </c>
      <c r="M9" s="206">
        <f t="shared" si="56"/>
        <v>0.10261020959496385</v>
      </c>
      <c r="N9" s="192">
        <f t="shared" si="57"/>
        <v>0.045976421949631044</v>
      </c>
      <c r="O9" s="192">
        <f t="shared" si="58"/>
        <v>0.0369102732711454</v>
      </c>
      <c r="P9" s="192">
        <f t="shared" si="59"/>
        <v>0.014815944947207482</v>
      </c>
      <c r="Q9" s="207">
        <f t="shared" si="60"/>
        <v>0.003964790020493408</v>
      </c>
      <c r="R9" s="192">
        <f t="shared" si="61"/>
        <v>7.957420179382637E-4</v>
      </c>
      <c r="S9" s="192">
        <f t="shared" si="62"/>
        <v>1.2776572899740298E-4</v>
      </c>
      <c r="T9" s="210" t="str">
        <f>IF(W6&gt;0.38,"u0.5",IF(W7&gt;0.352,"U1.5",IF(W8&gt;0.5885,"u2.5",IF(W9&gt;0.6871,"U3.5",IF(W10&gt;0.6993,"u4.5","Run")))))</f>
        <v>U1.5</v>
      </c>
      <c r="U9" s="210" t="str">
        <f>IF(X10&gt;0.34,"O4.5",IF(X9&gt;0.6155,"O3.5",IF(X8&gt;0.5063,"O2.5",IF(X7&gt;0.74,"O1.5",IF(X6&gt;0.95,"O0.5","Run")))))</f>
        <v>Run</v>
      </c>
      <c r="V9" s="206">
        <f t="shared" si="96"/>
        <v>3.5</v>
      </c>
      <c r="W9" s="192">
        <f>SUM(N6,N7,O6,P6,O7,N8,N9,O8,P7,Q6)</f>
        <v>0.834003571104192</v>
      </c>
      <c r="X9" s="192">
        <f>(Y6-W9)</f>
        <v>0.16339056536079755</v>
      </c>
      <c r="Y9" s="204">
        <f t="shared" si="105"/>
        <v>25.025953324443716</v>
      </c>
      <c r="AA9">
        <f>AA47</f>
        <v>0.3994618206992513</v>
      </c>
      <c r="AD9" s="201">
        <v>0.0</v>
      </c>
      <c r="AE9" s="202">
        <f t="shared" si="41"/>
        <v>2.0</v>
      </c>
      <c r="AF9" s="203">
        <v>2.0</v>
      </c>
      <c r="AG9" s="192">
        <f t="shared" si="42"/>
        <v>2.7993771143860093</v>
      </c>
      <c r="AH9" s="204">
        <f t="shared" si="43"/>
        <v>12.0</v>
      </c>
      <c r="AI9" t="str">
        <f>IF(AH5=4,"draw",IF(AH6=4,"away",IF(AH7=4,"draw 1-1",IF(AH8=4,"home",IF(AH9=4,"away 0-2",IF(AH10=4,"away 1-2",IF(AH11=4,"home 2-1","rountime")))))))</f>
        <v>draw 1-1</v>
      </c>
      <c r="AJ9" t="str">
        <f t="shared" si="63"/>
        <v>under</v>
      </c>
      <c r="AK9" s="195">
        <f t="shared" si="97"/>
        <v>3.0</v>
      </c>
      <c r="AL9" s="206">
        <f t="shared" si="64"/>
        <v>0.20004152135607242</v>
      </c>
      <c r="AM9" s="207">
        <f t="shared" si="65"/>
        <v>0.020175986195002226</v>
      </c>
      <c r="AN9" s="192">
        <f t="shared" si="66"/>
        <v>0.04628435507343873</v>
      </c>
      <c r="AO9" s="192">
        <f t="shared" si="67"/>
        <v>0.05308889250466489</v>
      </c>
      <c r="AP9" s="192">
        <f t="shared" si="68"/>
        <v>0.04059587021575508</v>
      </c>
      <c r="AQ9" s="192">
        <f t="shared" si="69"/>
        <v>0.023282054882237634</v>
      </c>
      <c r="AR9" s="192">
        <f t="shared" si="70"/>
        <v>0.01068195511826533</v>
      </c>
      <c r="AS9" s="210" t="str">
        <f>IF(AV6&gt;0.38,"u0.5",IF(AV7&gt;0.352,"U1.5",IF(AV8&gt;0.5885,"u2.5",IF(AV9&gt;0.6871,"U3.5",IF(AV10&gt;0.6993,"u4.5","Run")))))</f>
        <v>Run</v>
      </c>
      <c r="AT9" s="210" t="str">
        <f>IF(AW10&gt;0.34,"O4.5",IF(AW9&gt;0.6155,"O3.5",IF(AW8&gt;0.5063,"O2.5",IF(AW7&gt;0.74,"O1.5",IF(AW6&gt;0.95,"O0.5","Run")))))</f>
        <v>O4.5</v>
      </c>
      <c r="AU9" s="206">
        <f t="shared" si="98"/>
        <v>3.5</v>
      </c>
      <c r="AV9" s="192">
        <f>SUM(AM6,AM7,AN6,AO6,AN7,AM8,AM9,AN8,AO7,AP6)</f>
        <v>0.3350519387592534</v>
      </c>
      <c r="AW9" s="192">
        <f>(AX6-AV9)</f>
        <v>0.608776882028427</v>
      </c>
      <c r="AX9" s="204">
        <f t="shared" si="106"/>
        <v>37.50067018122887</v>
      </c>
      <c r="AZ9">
        <f>AZ47</f>
        <v>4.246705597256252</v>
      </c>
      <c r="BC9" s="201">
        <v>0.0</v>
      </c>
      <c r="BD9" s="202" t="s">
        <v>81</v>
      </c>
      <c r="BE9" s="203">
        <v>2.0</v>
      </c>
      <c r="BF9" s="192">
        <f t="shared" si="45"/>
        <v>2.7993771143860093</v>
      </c>
      <c r="BG9" s="204">
        <f t="shared" si="46"/>
        <v>12.0</v>
      </c>
      <c r="BH9" t="str">
        <f>IF(BG5=4,"draw",IF(BG6=4,"away",IF(BG7=4,"draw 1-1",IF(BG8=4,"home",IF(BG9=4,"away 0-2",IF(BG10=4,"away 1-2",IF(BG11=4,"home 2-1","rountime")))))))</f>
        <v>draw 1-1</v>
      </c>
      <c r="BI9" t="str">
        <f t="shared" si="71"/>
        <v>under</v>
      </c>
      <c r="BJ9" s="195">
        <f t="shared" si="99"/>
        <v>3.0</v>
      </c>
      <c r="BK9" s="206">
        <f t="shared" si="72"/>
        <v>0.20004152135607242</v>
      </c>
      <c r="BL9" s="207">
        <f t="shared" si="73"/>
        <v>0.020175986195002226</v>
      </c>
      <c r="BM9" s="192">
        <f t="shared" si="74"/>
        <v>0.04628435507343873</v>
      </c>
      <c r="BN9" s="192">
        <f t="shared" si="75"/>
        <v>0.05308889250466489</v>
      </c>
      <c r="BO9" s="192">
        <f t="shared" si="76"/>
        <v>0.04059587021575508</v>
      </c>
      <c r="BP9" s="192">
        <f t="shared" si="77"/>
        <v>0.023282054882237634</v>
      </c>
      <c r="BQ9" s="192">
        <f t="shared" si="78"/>
        <v>0.01068195511826533</v>
      </c>
      <c r="BR9" s="210" t="str">
        <f>IF(BU6&gt;0.38,"u0.5",IF(BU7&gt;0.352,"U1.5",IF(BU8&gt;0.5885,"u2.5",IF(BU9&gt;0.6871,"U3.5",IF(BU10&gt;0.6993,"u4.5","Run")))))</f>
        <v>Run</v>
      </c>
      <c r="BS9" s="210" t="str">
        <f>IF(BV10&gt;0.34,"O4.5",IF(BV9&gt;0.6155,"O3.5",IF(BV8&gt;0.5063,"O2.5",IF(BV7&gt;0.74,"O1.5",IF(BV6&gt;0.95,"O0.5","Run")))))</f>
        <v>O4.5</v>
      </c>
      <c r="BT9" s="206">
        <f t="shared" si="100"/>
        <v>3.5</v>
      </c>
      <c r="BU9" s="192">
        <f>SUM(BL6,BL7,BM6,BN6,BM7,BL8,BL9,BM8,BN7,BO6)</f>
        <v>0.3350519387592534</v>
      </c>
      <c r="BV9" s="192">
        <f>(BW6-BU9)</f>
        <v>0.608776882028427</v>
      </c>
      <c r="BW9" s="204"/>
      <c r="BY9">
        <f>BY47</f>
        <v>4.246705597256252</v>
      </c>
      <c r="CB9" s="201">
        <v>0.0</v>
      </c>
      <c r="CC9" s="202" t="s">
        <v>81</v>
      </c>
      <c r="CD9" s="203">
        <v>2.0</v>
      </c>
      <c r="CE9" s="192">
        <f t="shared" si="48"/>
        <v>3.8509776897125065</v>
      </c>
      <c r="CF9" s="204">
        <f t="shared" si="49"/>
        <v>8.0</v>
      </c>
      <c r="CG9" t="str">
        <f>IF(CF5=4,"draw",IF(CF6=4,"away",IF(CF7=4,"draw 1-1",IF(CF8=4,"home",IF(CF9=4,"away 0-2",IF(CF10=4,"away 1-2",IF(CF11=4,"home 2-1","rountime")))))))</f>
        <v>away</v>
      </c>
      <c r="CH9" t="str">
        <f t="shared" si="79"/>
        <v>small</v>
      </c>
      <c r="CI9" s="195">
        <f t="shared" si="101"/>
        <v>3.0</v>
      </c>
      <c r="CJ9" s="206">
        <f t="shared" si="80"/>
        <v>0.10261020959496385</v>
      </c>
      <c r="CK9" s="207">
        <f t="shared" si="81"/>
        <v>0.045976421949631044</v>
      </c>
      <c r="CL9" s="192">
        <f t="shared" si="82"/>
        <v>0.0369102732711454</v>
      </c>
      <c r="CM9" s="192">
        <f t="shared" si="83"/>
        <v>0.014815944947207482</v>
      </c>
      <c r="CN9" s="192">
        <f t="shared" si="84"/>
        <v>0.003964790020493408</v>
      </c>
      <c r="CO9" s="192">
        <f t="shared" si="85"/>
        <v>7.957420179382637E-4</v>
      </c>
      <c r="CP9" s="192">
        <f t="shared" si="86"/>
        <v>1.2776572899740298E-4</v>
      </c>
      <c r="CQ9" s="210" t="str">
        <f>IF(CT6&gt;0.38,"u0.5",IF(CT7&gt;0.352,"U1.5",IF(CT8&gt;0.5885,"u2.5",IF(CT9&gt;0.6871,"U3.5",IF(CT10&gt;0.6993,"u4.5","Run")))))</f>
        <v>U1.5</v>
      </c>
      <c r="CR9" s="210" t="str">
        <f>IF(CU10&gt;0.34,"O4.5",IF(CU9&gt;0.6155,"O3.5",IF(CU8&gt;0.5063,"O2.5",IF(CU7&gt;0.74,"O1.5",IF(CU6&gt;0.95,"O0.5","Run")))))</f>
        <v>Run</v>
      </c>
      <c r="CS9" s="206">
        <f t="shared" si="102"/>
        <v>3.5</v>
      </c>
      <c r="CT9" s="192">
        <f>SUM(CK6,CK7,CL6,CM6,CL7,CK8,CK9,CL8,CM7,CN6)</f>
        <v>0.834003571104192</v>
      </c>
      <c r="CU9" s="192">
        <f>(CV6-CT9)</f>
        <v>0.16339056536079755</v>
      </c>
      <c r="CV9" s="204"/>
      <c r="CX9">
        <f>CX47</f>
        <v>4.214805483919193</v>
      </c>
      <c r="DA9" s="201">
        <v>0.0</v>
      </c>
      <c r="DB9" s="202" t="s">
        <v>81</v>
      </c>
      <c r="DC9" s="203">
        <v>2.0</v>
      </c>
      <c r="DD9" s="192" t="e">
        <f t="shared" si="51"/>
        <v>#N/A</v>
      </c>
      <c r="DE9" s="204" t="e">
        <f t="shared" si="52"/>
        <v>#N/A</v>
      </c>
      <c r="DF9" t="e">
        <f>IF(DE5=4,"draw",IF(DE6=4,"away",IF(DE7=4,"draw 1-1",IF(DE8=4,"home",IF(DE9=4,"away 0-2",IF(DE10=4,"away 1-2",IF(DE11=4,"home 2-1","rountime")))))))</f>
        <v>#N/A</v>
      </c>
      <c r="DG9" t="e">
        <f t="shared" si="87"/>
        <v>#N/A</v>
      </c>
      <c r="DH9" s="195">
        <f t="shared" si="103"/>
        <v>3.0</v>
      </c>
      <c r="DI9" s="206" t="e">
        <f t="shared" si="88"/>
        <v>#N/A</v>
      </c>
      <c r="DJ9" s="207" t="e">
        <f t="shared" si="89"/>
        <v>#N/A</v>
      </c>
      <c r="DK9" s="192" t="e">
        <f t="shared" si="90"/>
        <v>#N/A</v>
      </c>
      <c r="DL9" s="192" t="e">
        <f t="shared" si="91"/>
        <v>#N/A</v>
      </c>
      <c r="DM9" s="192" t="e">
        <f t="shared" si="92"/>
        <v>#N/A</v>
      </c>
      <c r="DN9" s="192" t="e">
        <f t="shared" si="93"/>
        <v>#N/A</v>
      </c>
      <c r="DO9" s="192" t="e">
        <f t="shared" si="94"/>
        <v>#N/A</v>
      </c>
      <c r="DP9" s="210" t="e">
        <f>IF(DS6&gt;0.38,"u0.5",IF(DS7&gt;0.352,"U1.5",IF(DS8&gt;0.5885,"u2.5",IF(DS9&gt;0.6871,"U3.5",IF(DS10&gt;0.6993,"u4.5","Run")))))</f>
        <v>#N/A</v>
      </c>
      <c r="DQ9" s="210" t="e">
        <f>IF(DT10&gt;0.34,"O4.5",IF(DT9&gt;0.6155,"O3.5",IF(DT8&gt;0.5063,"O2.5",IF(DT7&gt;0.74,"O1.5",IF(DT6&gt;0.95,"O0.5","Run")))))</f>
        <v>#N/A</v>
      </c>
      <c r="DR9" s="206">
        <f t="shared" si="104"/>
        <v>3.5</v>
      </c>
      <c r="DS9" s="192" t="e">
        <f>SUM(DJ6,DJ7,DK6,DL6,DK7,DJ8,DJ9,DK8,DL7,DM6)</f>
        <v>#N/A</v>
      </c>
      <c r="DT9" s="192" t="e">
        <f>(DU6-DS9)</f>
        <v>#N/A</v>
      </c>
      <c r="DU9" s="204"/>
      <c r="DW9" t="e">
        <f>DW47</f>
        <v>#N/A</v>
      </c>
    </row>
    <row r="10" spans="8:8" ht="15.0" customHeight="1">
      <c r="C10" t="s">
        <v>86</v>
      </c>
      <c r="D10" s="211">
        <f>Sheet1!E45</f>
        <v>1.3668</v>
      </c>
      <c r="E10" s="201">
        <v>1.0</v>
      </c>
      <c r="F10" s="202" t="s">
        <v>81</v>
      </c>
      <c r="G10" s="203">
        <v>2.0</v>
      </c>
      <c r="H10" s="192">
        <f t="shared" si="38"/>
        <v>5.089489277309702</v>
      </c>
      <c r="I10" s="204">
        <f t="shared" si="39"/>
        <v>6.0</v>
      </c>
      <c r="J10">
        <f t="shared" si="107" ref="J10:J13">IF(J6="draw",1,IF(J6="draw 1-1",1,IF(J6="home",2,IF(J6="home 2-1",2,IF(J6="away",3,IF(J6="away 1-2",3,IF(J6="away 0-2",3,0)))))))</f>
        <v>2.0</v>
      </c>
      <c r="K10">
        <f>COUNTIF(K6:K9,"small")</f>
        <v>3.0</v>
      </c>
      <c r="L10" s="195">
        <f t="shared" si="95"/>
        <v>4.0</v>
      </c>
      <c r="M10" s="206">
        <f t="shared" si="56"/>
        <v>0.03390266080164283</v>
      </c>
      <c r="N10" s="192">
        <f t="shared" si="57"/>
        <v>0.015190720732218931</v>
      </c>
      <c r="O10" s="192">
        <f t="shared" si="58"/>
        <v>0.012195243336380468</v>
      </c>
      <c r="P10" s="192">
        <f t="shared" si="59"/>
        <v>0.004895223954650633</v>
      </c>
      <c r="Q10" s="192">
        <f t="shared" si="60"/>
        <v>0.0013099761879944915</v>
      </c>
      <c r="R10" s="207">
        <f t="shared" si="61"/>
        <v>2.629150824880473E-4</v>
      </c>
      <c r="S10" s="192">
        <f t="shared" si="62"/>
        <v>4.221410510096231E-5</v>
      </c>
      <c r="T10" s="210" t="str">
        <f>IF(W6&gt;0.4,"u0.5",IF(W7&gt;0.52,"U1.5",IF(W8&gt;0.721,"u2.5",IF(W9&gt;0.79775,"U3.5",IF(W10&gt;0.8165,"u4.5","Run")))))</f>
        <v>U3.5</v>
      </c>
      <c r="U10" s="210" t="str">
        <f>IF(X10&gt;0.55,"O4.5",IF(X9&gt;0.69775,"O3.5",IF(X8&gt;0.7,"O2.5",IF(X7&gt;0.79,"O1.5",IF(X6&gt;0.92,"O0.5","Run")))))</f>
        <v>Run</v>
      </c>
      <c r="V10" s="206">
        <f t="shared" si="96"/>
        <v>4.5</v>
      </c>
      <c r="W10" s="192">
        <f>SUM(N6,N7,O6,P6,O7,N8,N9,O8,P7,Q6,R6,Q7,P8,O9,N10)</f>
        <v>0.9354240792990243</v>
      </c>
      <c r="X10" s="192">
        <f>(Y6-W10)</f>
        <v>0.061970057165965264</v>
      </c>
      <c r="Y10" s="204">
        <f t="shared" si="105"/>
        <v>14.211113156419414</v>
      </c>
      <c r="Z10">
        <f t="shared" si="108" ref="Z10:Z14">Y8-U13</f>
        <v>30.414826174684237</v>
      </c>
      <c r="AA10">
        <f t="shared" si="109" ref="AA10:AA14">IF(Z10&lt;0,1,0)</f>
        <v>0.0</v>
      </c>
      <c r="AD10" s="201">
        <v>1.0</v>
      </c>
      <c r="AE10" s="202">
        <f t="shared" si="41"/>
        <v>3.0</v>
      </c>
      <c r="AF10" s="203">
        <v>2.0</v>
      </c>
      <c r="AG10" s="192">
        <f t="shared" si="42"/>
        <v>6.296403870131861</v>
      </c>
      <c r="AH10" s="204">
        <f t="shared" si="43"/>
        <v>2.0</v>
      </c>
      <c r="AI10">
        <f t="shared" si="110" ref="AI10:AI13">IF(AI6="draw",1,IF(AI6="draw 1-1",1,IF(AI6="home",2,IF(AI6="home 2-1",2,IF(AI6="away",3,IF(AI6="away 1-2",3,IF(AI6="away 0-2",3,0)))))))</f>
        <v>0.0</v>
      </c>
      <c r="AJ10">
        <f>COUNTIF(AJ6:AJ9,"small")</f>
        <v>0.0</v>
      </c>
      <c r="AK10" s="195">
        <f t="shared" si="97"/>
        <v>4.0</v>
      </c>
      <c r="AL10" s="206">
        <f t="shared" si="64"/>
        <v>0.11248414895412341</v>
      </c>
      <c r="AM10" s="207">
        <f t="shared" si="65"/>
        <v>0.011345037875488424</v>
      </c>
      <c r="AN10" s="192">
        <f t="shared" si="66"/>
        <v>0.02602587830283055</v>
      </c>
      <c r="AO10" s="192">
        <f t="shared" si="67"/>
        <v>0.029852096963783152</v>
      </c>
      <c r="AP10" s="192">
        <f t="shared" si="68"/>
        <v>0.022827220475608725</v>
      </c>
      <c r="AQ10" s="192">
        <f t="shared" si="69"/>
        <v>0.013091592743239235</v>
      </c>
      <c r="AR10" s="192">
        <f t="shared" si="70"/>
        <v>0.006006506161815612</v>
      </c>
      <c r="AS10" s="210" t="str">
        <f>IF(AV6&gt;0.4,"u0.5",IF(AV7&gt;0.52,"U1.5",IF(AV8&gt;0.721,"u2.5",IF(AV9&gt;0.79775,"U3.5",IF(AV10&gt;0.8165,"u4.5","Run")))))</f>
        <v>Run</v>
      </c>
      <c r="AT10" s="210" t="str">
        <f>IF(AW10&gt;0.55,"O4.5",IF(AW9&gt;0.69775,"O3.5",IF(AW8&gt;0.7,"O2.5",IF(AW7&gt;0.79,"O1.5",IF(AW6&gt;0.92,"O0.5","Run")))))</f>
        <v>O2.5</v>
      </c>
      <c r="AU10" s="206">
        <f t="shared" si="98"/>
        <v>4.5</v>
      </c>
      <c r="AV10" s="192">
        <f>SUM(AM6,AM7,AN6,AO6,AN7,AM8,AM9,AN8,AO7,AP6,AQ6,AP7,AO8,AN9,AM10)</f>
        <v>0.5239149911028418</v>
      </c>
      <c r="AW10" s="192">
        <f>(AX6-AV10)</f>
        <v>0.4199138296848385</v>
      </c>
      <c r="AX10" s="204">
        <f t="shared" si="106"/>
        <v>32.84735851889906</v>
      </c>
      <c r="AY10">
        <f t="shared" si="111" ref="AY10:AY14">AX8-AT13</f>
        <v>39.09824353110085</v>
      </c>
      <c r="AZ10">
        <f t="shared" si="112" ref="AZ10:AZ14">IF(AY10&lt;0,1,0)</f>
        <v>0.0</v>
      </c>
      <c r="BC10" s="201">
        <v>1.0</v>
      </c>
      <c r="BD10" s="202" t="s">
        <v>81</v>
      </c>
      <c r="BE10" s="203">
        <v>2.0</v>
      </c>
      <c r="BF10" s="192">
        <f t="shared" si="45"/>
        <v>6.296403870131861</v>
      </c>
      <c r="BG10" s="204">
        <f t="shared" si="46"/>
        <v>2.0</v>
      </c>
      <c r="BH10">
        <f t="shared" si="113" ref="BH10:BH13">IF(BH6="draw",1,IF(BH6="draw 1-1",1,IF(BH6="home",2,IF(BH6="home 2-1",2,IF(BH6="away",3,IF(BH6="away 1-2",3,IF(BH6="away 0-2",3,0)))))))</f>
        <v>0.0</v>
      </c>
      <c r="BI10">
        <f>COUNTIF(BI6:BI9,"small")</f>
        <v>0.0</v>
      </c>
      <c r="BJ10" s="195">
        <f t="shared" si="99"/>
        <v>4.0</v>
      </c>
      <c r="BK10" s="206">
        <f t="shared" si="72"/>
        <v>0.11248414895412341</v>
      </c>
      <c r="BL10" s="207">
        <f t="shared" si="73"/>
        <v>0.011345037875488424</v>
      </c>
      <c r="BM10" s="192">
        <f t="shared" si="74"/>
        <v>0.02602587830283055</v>
      </c>
      <c r="BN10" s="192">
        <f t="shared" si="75"/>
        <v>0.029852096963783152</v>
      </c>
      <c r="BO10" s="192">
        <f t="shared" si="76"/>
        <v>0.022827220475608725</v>
      </c>
      <c r="BP10" s="192">
        <f t="shared" si="77"/>
        <v>0.013091592743239235</v>
      </c>
      <c r="BQ10" s="192">
        <f t="shared" si="78"/>
        <v>0.006006506161815612</v>
      </c>
      <c r="BR10" s="210" t="str">
        <f>IF(BU6&gt;0.4,"u0.5",IF(BU7&gt;0.52,"U1.5",IF(BU8&gt;0.721,"u2.5",IF(BU9&gt;0.79775,"U3.5",IF(BU10&gt;0.8165,"u4.5","Run")))))</f>
        <v>Run</v>
      </c>
      <c r="BS10" s="210" t="str">
        <f>IF(BV10&gt;0.55,"O4.5",IF(BV9&gt;0.69775,"O3.5",IF(BV8&gt;0.7,"O2.5",IF(BV7&gt;0.79,"O1.5",IF(BV6&gt;0.92,"O0.5","Run")))))</f>
        <v>O2.5</v>
      </c>
      <c r="BT10" s="206">
        <f t="shared" si="100"/>
        <v>4.5</v>
      </c>
      <c r="BU10" s="192">
        <f>SUM(BL6,BL7,BM6,BN6,BM7,BL8,BL9,BM8,BN7,BO6,BP6,BO7,BN8,BM9,BL10)</f>
        <v>0.5239149911028418</v>
      </c>
      <c r="BV10" s="192">
        <f>(BW6-BU10)</f>
        <v>0.4199138296848385</v>
      </c>
      <c r="BW10" s="204"/>
      <c r="CB10" s="201">
        <v>1.0</v>
      </c>
      <c r="CC10" s="202" t="s">
        <v>81</v>
      </c>
      <c r="CD10" s="203">
        <v>2.0</v>
      </c>
      <c r="CE10" s="192">
        <f t="shared" si="48"/>
        <v>5.089489277309702</v>
      </c>
      <c r="CF10" s="204">
        <f t="shared" si="49"/>
        <v>6.0</v>
      </c>
      <c r="CG10">
        <f t="shared" si="114" ref="CG10:CG13">IF(CG6="draw",1,IF(CG6="draw 1-1",1,IF(CG6="home",2,IF(CG6="home 2-1",2,IF(CG6="away",3,IF(CG6="away 1-2",3,IF(CG6="away 0-2",3,0)))))))</f>
        <v>2.0</v>
      </c>
      <c r="CH10">
        <f>COUNTIF(CH6:CH9,"small")</f>
        <v>3.0</v>
      </c>
      <c r="CI10" s="195">
        <f t="shared" si="101"/>
        <v>4.0</v>
      </c>
      <c r="CJ10" s="206">
        <f t="shared" si="80"/>
        <v>0.03390266080164283</v>
      </c>
      <c r="CK10" s="207">
        <f t="shared" si="81"/>
        <v>0.015190720732218931</v>
      </c>
      <c r="CL10" s="192">
        <f t="shared" si="82"/>
        <v>0.012195243336380468</v>
      </c>
      <c r="CM10" s="192">
        <f t="shared" si="83"/>
        <v>0.004895223954650633</v>
      </c>
      <c r="CN10" s="192">
        <f t="shared" si="84"/>
        <v>0.0013099761879944915</v>
      </c>
      <c r="CO10" s="192">
        <f t="shared" si="85"/>
        <v>2.629150824880473E-4</v>
      </c>
      <c r="CP10" s="192">
        <f t="shared" si="86"/>
        <v>4.221410510096231E-5</v>
      </c>
      <c r="CQ10" s="210" t="str">
        <f>IF(CT6&gt;0.4,"u0.5",IF(CT7&gt;0.52,"U1.5",IF(CT8&gt;0.721,"u2.5",IF(CT9&gt;0.79775,"U3.5",IF(CT10&gt;0.8165,"u4.5","Run")))))</f>
        <v>U3.5</v>
      </c>
      <c r="CR10" s="210" t="str">
        <f>IF(CU10&gt;0.55,"O4.5",IF(CU9&gt;0.69775,"O3.5",IF(CU8&gt;0.7,"O2.5",IF(CU7&gt;0.79,"O1.5",IF(CU6&gt;0.92,"O0.5","Run")))))</f>
        <v>Run</v>
      </c>
      <c r="CS10" s="206">
        <f t="shared" si="102"/>
        <v>4.5</v>
      </c>
      <c r="CT10" s="192">
        <f>SUM(CK6,CK7,CL6,CM6,CL7,CK8,CK9,CL8,CM7,CN6,CO6,CN7,CM8,CL9,CK10)</f>
        <v>0.9354240792990243</v>
      </c>
      <c r="CU10" s="192">
        <f>(CV6-CT10)</f>
        <v>0.061970057165965264</v>
      </c>
      <c r="CV10" s="204"/>
      <c r="DA10" s="201">
        <v>1.0</v>
      </c>
      <c r="DB10" s="202" t="s">
        <v>81</v>
      </c>
      <c r="DC10" s="203">
        <v>2.0</v>
      </c>
      <c r="DD10" s="192" t="e">
        <f t="shared" si="51"/>
        <v>#N/A</v>
      </c>
      <c r="DE10" s="204" t="e">
        <f t="shared" si="52"/>
        <v>#N/A</v>
      </c>
      <c r="DF10" t="e">
        <f t="shared" si="115" ref="DF10:DF13">IF(DF6="draw",1,IF(DF6="draw 1-1",1,IF(DF6="home",2,IF(DF6="home 2-1",2,IF(DF6="away",3,IF(DF6="away 1-2",3,IF(DF6="away 0-2",3,0)))))))</f>
        <v>#N/A</v>
      </c>
      <c r="DG10">
        <f>COUNTIF(DG6:DG9,"small")</f>
        <v>0.0</v>
      </c>
      <c r="DH10" s="195">
        <f t="shared" si="103"/>
        <v>4.0</v>
      </c>
      <c r="DI10" s="206" t="e">
        <f t="shared" si="88"/>
        <v>#N/A</v>
      </c>
      <c r="DJ10" s="207" t="e">
        <f t="shared" si="89"/>
        <v>#N/A</v>
      </c>
      <c r="DK10" s="192" t="e">
        <f t="shared" si="90"/>
        <v>#N/A</v>
      </c>
      <c r="DL10" s="192" t="e">
        <f t="shared" si="91"/>
        <v>#N/A</v>
      </c>
      <c r="DM10" s="192" t="e">
        <f t="shared" si="92"/>
        <v>#N/A</v>
      </c>
      <c r="DN10" s="192" t="e">
        <f t="shared" si="93"/>
        <v>#N/A</v>
      </c>
      <c r="DO10" s="192" t="e">
        <f t="shared" si="94"/>
        <v>#N/A</v>
      </c>
      <c r="DP10" s="210" t="e">
        <f>IF(DS6&gt;0.4,"u0.5",IF(DS7&gt;0.52,"U1.5",IF(DS8&gt;0.721,"u2.5",IF(DS9&gt;0.79775,"U3.5",IF(DS10&gt;0.8165,"u4.5","Run")))))</f>
        <v>#N/A</v>
      </c>
      <c r="DQ10" s="210" t="e">
        <f>IF(DT10&gt;0.55,"O4.5",IF(DT9&gt;0.69775,"O3.5",IF(DT8&gt;0.7,"O2.5",IF(DT7&gt;0.79,"O1.5",IF(DT6&gt;0.92,"O0.5","Run")))))</f>
        <v>#N/A</v>
      </c>
      <c r="DR10" s="206">
        <f t="shared" si="104"/>
        <v>4.5</v>
      </c>
      <c r="DS10" s="192" t="e">
        <f>SUM(DJ6,DJ7,DK6,DL6,DK7,DJ8,DJ9,DK8,DL7,DM6,DN6,DM7,DL8,DK9,DJ10)</f>
        <v>#N/A</v>
      </c>
      <c r="DT10" s="192" t="e">
        <f>(DU6-DS10)</f>
        <v>#N/A</v>
      </c>
      <c r="DU10" s="204"/>
    </row>
    <row r="11" spans="8:8" ht="15.0" customHeight="1">
      <c r="D11" t="str">
        <f>IF(D10&gt;1.28,"High scoring league",IF(D10&lt;1.1,"low scoring","medium"))</f>
        <v>High scoring league</v>
      </c>
      <c r="E11" s="201">
        <v>2.0</v>
      </c>
      <c r="F11" s="202" t="s">
        <v>81</v>
      </c>
      <c r="G11" s="203">
        <v>1.0</v>
      </c>
      <c r="H11" s="192">
        <f t="shared" si="38"/>
        <v>8.378481482733854</v>
      </c>
      <c r="I11" s="204">
        <f t="shared" si="39"/>
        <v>5.0</v>
      </c>
      <c r="J11">
        <f t="shared" si="107"/>
        <v>1.0</v>
      </c>
      <c r="K11">
        <f>COUNTIF(K6:K9,"under")</f>
        <v>1.0</v>
      </c>
      <c r="L11" s="195">
        <f t="shared" si="95"/>
        <v>5.0</v>
      </c>
      <c r="M11" s="206">
        <f t="shared" si="56"/>
        <v>0.008961216736371725</v>
      </c>
      <c r="N11" s="192">
        <f t="shared" si="57"/>
        <v>0.004015240622544673</v>
      </c>
      <c r="O11" s="192">
        <f t="shared" si="58"/>
        <v>0.0032234702559040085</v>
      </c>
      <c r="P11" s="192">
        <f t="shared" si="59"/>
        <v>0.0012939150436409802</v>
      </c>
      <c r="Q11" s="192">
        <f t="shared" si="60"/>
        <v>3.462554343090331E-4</v>
      </c>
      <c r="R11" s="192">
        <f t="shared" si="61"/>
        <v>6.949422203823821E-5</v>
      </c>
      <c r="S11" s="207">
        <f t="shared" si="62"/>
        <v>1.115811373493633E-5</v>
      </c>
      <c r="T11" s="192"/>
      <c r="U11" s="210"/>
      <c r="V11" s="210" t="s">
        <v>87</v>
      </c>
      <c r="W11" s="210" t="str">
        <f>IF(W6&gt;0.46,"u0.5",IF(W7&gt;0.688,"U1.5",IF(W8&gt;0.855,"u2.5",IF(W9&gt;0.908,"U3.5",IF(W10&gt;0.93,"u4.5","Run")))))</f>
        <v>u4.5</v>
      </c>
      <c r="X11" s="210" t="str">
        <f>IF(X10&gt;0.77,"O4.5",IF(X9&gt;0.79,"O3.5",IF(X8&gt;0.84,"O2.5",IF(X7&gt;0.855,"O1.5",IF(X6&gt;0.88,"O0.5","Run")))))</f>
        <v>Run</v>
      </c>
      <c r="Y11" s="204">
        <f t="shared" si="105"/>
        <v>6.5526980513398225</v>
      </c>
      <c r="Z11">
        <f t="shared" si="108"/>
        <v>10.051906648887401</v>
      </c>
      <c r="AA11">
        <f t="shared" si="109"/>
        <v>0.0</v>
      </c>
      <c r="AD11" s="201">
        <v>2.0</v>
      </c>
      <c r="AE11" s="202">
        <f t="shared" si="41"/>
        <v>3.0</v>
      </c>
      <c r="AF11" s="203">
        <v>1.0</v>
      </c>
      <c r="AG11" s="192">
        <f t="shared" si="42"/>
        <v>6.173398356544127</v>
      </c>
      <c r="AH11" s="204">
        <f t="shared" si="43"/>
        <v>3.0</v>
      </c>
      <c r="AI11">
        <f t="shared" si="110"/>
        <v>3.0</v>
      </c>
      <c r="AJ11">
        <f>COUNTIF(AJ6:AJ9,"under")</f>
        <v>1.0</v>
      </c>
      <c r="AK11" s="195">
        <f t="shared" si="97"/>
        <v>5.0</v>
      </c>
      <c r="AL11" s="206">
        <f t="shared" si="64"/>
        <v>0.050600230112874345</v>
      </c>
      <c r="AM11" s="207">
        <f t="shared" si="65"/>
        <v>0.005103488202352137</v>
      </c>
      <c r="AN11" s="192">
        <f t="shared" si="66"/>
        <v>0.01170756451693467</v>
      </c>
      <c r="AO11" s="192">
        <f t="shared" si="67"/>
        <v>0.013428762983621194</v>
      </c>
      <c r="AP11" s="192">
        <f t="shared" si="68"/>
        <v>0.010268670027224992</v>
      </c>
      <c r="AQ11" s="192">
        <f t="shared" si="69"/>
        <v>0.005889164042323118</v>
      </c>
      <c r="AR11" s="192">
        <f t="shared" si="70"/>
        <v>0.002701985984587264</v>
      </c>
      <c r="AS11" s="192"/>
      <c r="AT11" s="210"/>
      <c r="AU11" s="210" t="s">
        <v>87</v>
      </c>
      <c r="AV11" s="210" t="str">
        <f>IF(AV6&gt;0.46,"u0.5",IF(AV7&gt;0.688,"U1.5",IF(AV8&gt;0.855,"u2.5",IF(AV9&gt;0.908,"U3.5",IF(AV10&gt;0.93,"u4.5","Run")))))</f>
        <v>Run</v>
      </c>
      <c r="AW11" s="210" t="str">
        <f>IF(AW10&gt;0.77,"O4.5",IF(AW9&gt;0.79,"O3.5",IF(AW8&gt;0.84,"O2.5",IF(AW7&gt;0.855,"O1.5",IF(AW6&gt;0.88,"O0.5","Run")))))</f>
        <v>O1.5</v>
      </c>
      <c r="AX11" s="204">
        <f t="shared" si="106"/>
        <v>25.80030906538188</v>
      </c>
      <c r="AY11">
        <f t="shared" si="111"/>
        <v>35.00134036245776</v>
      </c>
      <c r="AZ11">
        <f t="shared" si="112"/>
        <v>0.0</v>
      </c>
      <c r="BC11" s="201">
        <v>2.0</v>
      </c>
      <c r="BD11" s="202" t="s">
        <v>81</v>
      </c>
      <c r="BE11" s="203">
        <v>1.0</v>
      </c>
      <c r="BF11" s="192">
        <f t="shared" si="45"/>
        <v>6.173398356544127</v>
      </c>
      <c r="BG11" s="204">
        <f t="shared" si="46"/>
        <v>3.0</v>
      </c>
      <c r="BH11">
        <f t="shared" si="113"/>
        <v>3.0</v>
      </c>
      <c r="BI11">
        <f>COUNTIF(BI6:BI9,"under")</f>
        <v>1.0</v>
      </c>
      <c r="BJ11" s="195">
        <f t="shared" si="99"/>
        <v>5.0</v>
      </c>
      <c r="BK11" s="206">
        <f t="shared" si="72"/>
        <v>0.050600230112874345</v>
      </c>
      <c r="BL11" s="207">
        <f t="shared" si="73"/>
        <v>0.005103488202352137</v>
      </c>
      <c r="BM11" s="192">
        <f t="shared" si="74"/>
        <v>0.01170756451693467</v>
      </c>
      <c r="BN11" s="192">
        <f t="shared" si="75"/>
        <v>0.013428762983621194</v>
      </c>
      <c r="BO11" s="192">
        <f t="shared" si="76"/>
        <v>0.010268670027224992</v>
      </c>
      <c r="BP11" s="192">
        <f t="shared" si="77"/>
        <v>0.005889164042323118</v>
      </c>
      <c r="BQ11" s="192">
        <f t="shared" si="78"/>
        <v>0.002701985984587264</v>
      </c>
      <c r="BR11" s="192"/>
      <c r="BS11" s="210"/>
      <c r="BT11" s="210" t="s">
        <v>87</v>
      </c>
      <c r="BU11" s="210" t="str">
        <f>IF(BU6&gt;0.46,"u0.5",IF(BU7&gt;0.688,"U1.5",IF(BU8&gt;0.855,"u2.5",IF(BU9&gt;0.908,"U3.5",IF(BU10&gt;0.93,"u4.5","Run")))))</f>
        <v>Run</v>
      </c>
      <c r="BV11" s="210" t="str">
        <f>IF(BV10&gt;0.77,"O4.5",IF(BV9&gt;0.79,"O3.5",IF(BV8&gt;0.84,"O2.5",IF(BV7&gt;0.855,"O1.5",IF(BV6&gt;0.88,"O0.5","Run")))))</f>
        <v>O1.5</v>
      </c>
      <c r="BW11" s="204"/>
      <c r="CB11" s="201">
        <v>2.0</v>
      </c>
      <c r="CC11" s="202" t="s">
        <v>81</v>
      </c>
      <c r="CD11" s="203">
        <v>1.0</v>
      </c>
      <c r="CE11" s="192">
        <f t="shared" si="48"/>
        <v>8.378481482733854</v>
      </c>
      <c r="CF11" s="204">
        <f t="shared" si="49"/>
        <v>5.0</v>
      </c>
      <c r="CG11">
        <f t="shared" si="114"/>
        <v>1.0</v>
      </c>
      <c r="CH11">
        <f>COUNTIF(CH6:CH9,"under")</f>
        <v>1.0</v>
      </c>
      <c r="CI11" s="195">
        <f t="shared" si="101"/>
        <v>5.0</v>
      </c>
      <c r="CJ11" s="206">
        <f t="shared" si="80"/>
        <v>0.008961216736371725</v>
      </c>
      <c r="CK11" s="207">
        <f t="shared" si="81"/>
        <v>0.004015240622544673</v>
      </c>
      <c r="CL11" s="192">
        <f t="shared" si="82"/>
        <v>0.0032234702559040085</v>
      </c>
      <c r="CM11" s="192">
        <f t="shared" si="83"/>
        <v>0.0012939150436409802</v>
      </c>
      <c r="CN11" s="192">
        <f t="shared" si="84"/>
        <v>3.462554343090331E-4</v>
      </c>
      <c r="CO11" s="192">
        <f t="shared" si="85"/>
        <v>6.949422203823821E-5</v>
      </c>
      <c r="CP11" s="192">
        <f t="shared" si="86"/>
        <v>1.115811373493633E-5</v>
      </c>
      <c r="CQ11" s="192"/>
      <c r="CR11" s="210"/>
      <c r="CS11" s="210" t="s">
        <v>87</v>
      </c>
      <c r="CT11" s="210" t="str">
        <f>IF(CT6&gt;0.46,"u0.5",IF(CT7&gt;0.688,"U1.5",IF(CT8&gt;0.855,"u2.5",IF(CT9&gt;0.908,"U3.5",IF(CT10&gt;0.93,"u4.5","Run")))))</f>
        <v>u4.5</v>
      </c>
      <c r="CU11" s="210" t="str">
        <f>IF(CU10&gt;0.77,"O4.5",IF(CU9&gt;0.79,"O3.5",IF(CU8&gt;0.84,"O2.5",IF(CU7&gt;0.855,"O1.5",IF(CU6&gt;0.88,"O0.5","Run")))))</f>
        <v>Run</v>
      </c>
      <c r="CV11" s="204"/>
      <c r="DA11" s="201">
        <v>2.0</v>
      </c>
      <c r="DB11" s="202" t="s">
        <v>81</v>
      </c>
      <c r="DC11" s="203">
        <v>1.0</v>
      </c>
      <c r="DD11" s="192" t="e">
        <f t="shared" si="51"/>
        <v>#N/A</v>
      </c>
      <c r="DE11" s="204" t="e">
        <f t="shared" si="52"/>
        <v>#N/A</v>
      </c>
      <c r="DF11" t="e">
        <f t="shared" si="115"/>
        <v>#N/A</v>
      </c>
      <c r="DG11">
        <f>COUNTIF(DG6:DG9,"under")</f>
        <v>0.0</v>
      </c>
      <c r="DH11" s="195">
        <f t="shared" si="103"/>
        <v>5.0</v>
      </c>
      <c r="DI11" s="206" t="e">
        <f t="shared" si="88"/>
        <v>#N/A</v>
      </c>
      <c r="DJ11" s="207" t="e">
        <f t="shared" si="89"/>
        <v>#N/A</v>
      </c>
      <c r="DK11" s="192" t="e">
        <f t="shared" si="90"/>
        <v>#N/A</v>
      </c>
      <c r="DL11" s="192" t="e">
        <f t="shared" si="91"/>
        <v>#N/A</v>
      </c>
      <c r="DM11" s="192" t="e">
        <f t="shared" si="92"/>
        <v>#N/A</v>
      </c>
      <c r="DN11" s="192" t="e">
        <f t="shared" si="93"/>
        <v>#N/A</v>
      </c>
      <c r="DO11" s="192" t="e">
        <f t="shared" si="94"/>
        <v>#N/A</v>
      </c>
      <c r="DP11" s="192"/>
      <c r="DQ11" s="210"/>
      <c r="DR11" s="210" t="s">
        <v>87</v>
      </c>
      <c r="DS11" s="210" t="e">
        <f>IF(DS6&gt;0.46,"u0.5",IF(DS7&gt;0.688,"U1.5",IF(DS8&gt;0.855,"u2.5",IF(DS9&gt;0.908,"U3.5",IF(DS10&gt;0.93,"u4.5","Run")))))</f>
        <v>#N/A</v>
      </c>
      <c r="DT11" s="210" t="e">
        <f>IF(DT10&gt;0.77,"O4.5",IF(DT9&gt;0.79,"O3.5",IF(DT8&gt;0.84,"O2.5",IF(DT7&gt;0.855,"O1.5",IF(DT6&gt;0.88,"O0.5","Run")))))</f>
        <v>#N/A</v>
      </c>
      <c r="DU11" s="204"/>
    </row>
    <row r="12" spans="8:8" ht="15.0">
      <c r="E12" s="201">
        <v>1.0</v>
      </c>
      <c r="F12" s="202" t="s">
        <v>81</v>
      </c>
      <c r="G12" s="203">
        <v>3.0</v>
      </c>
      <c r="H12" s="192">
        <f t="shared" si="38"/>
        <v>1.361962154151296</v>
      </c>
      <c r="I12" s="204">
        <f t="shared" si="39"/>
        <v>13.0</v>
      </c>
      <c r="J12">
        <f t="shared" si="107"/>
        <v>1.0</v>
      </c>
      <c r="K12">
        <f>COUNTIF(K6:K9,"0")</f>
        <v>0.0</v>
      </c>
      <c r="L12" s="195"/>
      <c r="M12" s="192" t="str">
        <f>IF(N12&gt;0.9,"waw1",IF(N12&gt;0.85,"waw",IF(N12&gt;0.74,"high",IF(N12&gt;0.64,"medium",IF(N12&gt;0.54,"low",IF(N12&lt;0,"win","off"))))))</f>
        <v>off</v>
      </c>
      <c r="N12" s="192">
        <f>CORREL(N6:S11,N44:S49)</f>
        <v>0.308560618002479</v>
      </c>
      <c r="O12" s="192" t="str">
        <f>IF(AND(M12="waw1",M13&gt;0.8,OR(H39="high1",H39="high"),N13&gt;0.489),"all met",IF(AND(M12="high",M13&gt;0.8,N13&gt;0.49,OR(H39="high",H39="high1")),"met","check"))</f>
        <v>check</v>
      </c>
      <c r="P12" s="192">
        <f>SUM(N6:S11)</f>
        <v>0.9973941364649895</v>
      </c>
      <c r="Q12" s="192">
        <f>SUM(N8:O11,N7,P9,P10,P11,Q10,Q11,R11)*100</f>
        <v>48.63271912752928</v>
      </c>
      <c r="R12" s="192"/>
      <c r="S12" s="192"/>
      <c r="T12" s="192">
        <f>SUM(N6,O7,P8,Q9,R10,S11)*100</f>
        <v>28.41649808886917</v>
      </c>
      <c r="U12" s="192"/>
      <c r="V12" s="192"/>
      <c r="W12" s="192" t="s">
        <v>88</v>
      </c>
      <c r="X12" s="192" t="s">
        <v>89</v>
      </c>
      <c r="Y12" s="204">
        <f t="shared" si="105"/>
        <v>2.485278583473627</v>
      </c>
      <c r="Z12">
        <f t="shared" si="108"/>
        <v>-11.5777736871612</v>
      </c>
      <c r="AA12">
        <f t="shared" si="109"/>
        <v>1.0</v>
      </c>
      <c r="AD12" s="201">
        <v>1.0</v>
      </c>
      <c r="AE12" s="202">
        <f t="shared" si="41"/>
        <v>4.0</v>
      </c>
      <c r="AF12" s="203">
        <v>3.0</v>
      </c>
      <c r="AG12" s="192">
        <f t="shared" si="42"/>
        <v>4.814717020427406</v>
      </c>
      <c r="AH12" s="204">
        <f t="shared" si="43"/>
        <v>7.0</v>
      </c>
      <c r="AI12">
        <f t="shared" si="110"/>
        <v>2.0</v>
      </c>
      <c r="AJ12">
        <f>COUNTIF(AJ6:AJ9,"0")</f>
        <v>2.0</v>
      </c>
      <c r="AK12" s="195"/>
      <c r="AL12" s="192" t="str">
        <f>IF(AM12&gt;0.9,"waw1",IF(AM12&gt;0.85,"waw",IF(AM12&gt;0.74,"high",IF(AM12&gt;0.64,"medium",IF(AM12&gt;0.54,"low",IF(AM12&lt;0,"win","off"))))))</f>
        <v>off</v>
      </c>
      <c r="AM12" s="192">
        <f>CORREL(AM6:AR11,AM44:AR49)</f>
        <v>0.30803489766600206</v>
      </c>
      <c r="AN12" s="192" t="str">
        <f>IF(AND(AL12="waw1",AL13&gt;0.8,OR(AG39="high1",AG39="high"),AM13&gt;0.489),"all met",IF(AND(AL12="high",AL13&gt;0.8,AM13&gt;0.49,OR(AG39="high",AG39="high1")),"met","check"))</f>
        <v>check</v>
      </c>
      <c r="AO12" s="192"/>
      <c r="AP12" s="192">
        <f>SUM(AM8:AN11,AM7,AO9,AO10,AO11,AP10,AP11,AQ11)*100</f>
        <v>36.85707445035881</v>
      </c>
      <c r="AQ12" s="192"/>
      <c r="AR12" s="192"/>
      <c r="AS12" s="192">
        <f>SUM(AM6,AN7,AO8,AP9,AQ10,AR11)*100</f>
        <v>19.273188706666794</v>
      </c>
      <c r="AT12" s="192"/>
      <c r="AU12" s="192"/>
      <c r="AV12" s="192" t="s">
        <v>88</v>
      </c>
      <c r="AW12" s="192" t="s">
        <v>89</v>
      </c>
      <c r="AX12" s="204">
        <f t="shared" si="106"/>
        <v>17.796185936953947</v>
      </c>
      <c r="AY12">
        <f t="shared" si="111"/>
        <v>25.69471703779815</v>
      </c>
      <c r="AZ12">
        <f t="shared" si="112"/>
        <v>0.0</v>
      </c>
      <c r="BC12" s="201">
        <v>1.0</v>
      </c>
      <c r="BD12" s="202" t="s">
        <v>81</v>
      </c>
      <c r="BE12" s="203">
        <v>3.0</v>
      </c>
      <c r="BF12" s="192">
        <f t="shared" si="45"/>
        <v>4.814717020427406</v>
      </c>
      <c r="BG12" s="204">
        <f t="shared" si="46"/>
        <v>7.0</v>
      </c>
      <c r="BH12">
        <f t="shared" si="113"/>
        <v>2.0</v>
      </c>
      <c r="BI12">
        <f>COUNTIF(BI6:BI9,"0")</f>
        <v>2.0</v>
      </c>
      <c r="BJ12" s="195"/>
      <c r="BK12" s="192" t="str">
        <f>IF(BL12&gt;0.9,"waw1",IF(BL12&gt;0.85,"waw",IF(BL12&gt;0.74,"high",IF(BL12&gt;0.64,"medium",IF(BL12&gt;0.54,"low",IF(BL12&lt;0,"win","off"))))))</f>
        <v>off</v>
      </c>
      <c r="BL12" s="192">
        <f>CORREL(BL6:BQ11,BL44:BQ49)</f>
        <v>0.30803489766600206</v>
      </c>
      <c r="BM12" s="192" t="str">
        <f>IF(AND(BK12="waw1",BK13&gt;0.8,OR(BF39="high1",BF39="high"),BL13&gt;0.489),"all met",IF(AND(BK12="high",BK13&gt;0.8,BL13&gt;0.49,OR(BF39="high",BF39="high1")),"met","check"))</f>
        <v>check</v>
      </c>
      <c r="BN12" s="192"/>
      <c r="BO12" s="192">
        <f>SUM(BL8:BM11,BL7,BN9,BN10,BN11,BO10,BO11,BP11)*100</f>
        <v>36.85707445035881</v>
      </c>
      <c r="BP12" s="192"/>
      <c r="BQ12" s="192"/>
      <c r="BR12" s="192">
        <f>SUM(BL6,BM7,BN8,BO9,BP10,BQ11)*100</f>
        <v>19.273188706666794</v>
      </c>
      <c r="BS12" s="192"/>
      <c r="BT12" s="192"/>
      <c r="BU12" s="192" t="s">
        <v>88</v>
      </c>
      <c r="BV12" s="192" t="s">
        <v>89</v>
      </c>
      <c r="BW12" s="204"/>
      <c r="CB12" s="201">
        <v>1.0</v>
      </c>
      <c r="CC12" s="202" t="s">
        <v>81</v>
      </c>
      <c r="CD12" s="203">
        <v>3.0</v>
      </c>
      <c r="CE12" s="192">
        <f t="shared" si="48"/>
        <v>1.361962154151296</v>
      </c>
      <c r="CF12" s="204">
        <f t="shared" si="49"/>
        <v>13.0</v>
      </c>
      <c r="CG12">
        <f t="shared" si="114"/>
        <v>1.0</v>
      </c>
      <c r="CH12">
        <f>COUNTIF(CH6:CH9,"0")</f>
        <v>0.0</v>
      </c>
      <c r="CI12" s="195"/>
      <c r="CJ12" s="192" t="str">
        <f>IF(CK12&gt;0.9,"waw1",IF(CK12&gt;0.85,"waw",IF(CK12&gt;0.74,"high",IF(CK12&gt;0.64,"medium",IF(CK12&gt;0.54,"low",IF(CK12&lt;0,"win","off"))))))</f>
        <v>off</v>
      </c>
      <c r="CK12" s="192">
        <f>CORREL(CK6:CP11,CK44:CP49)</f>
        <v>0.308560618002479</v>
      </c>
      <c r="CL12" s="192" t="str">
        <f>IF(AND(CJ12="waw1",CJ13&gt;0.8,OR(CE39="high1",CE39="high"),CK13&gt;0.489),"all met",IF(AND(CJ12="high",CJ13&gt;0.8,CK13&gt;0.49,OR(CE39="high",CE39="high1")),"met","check"))</f>
        <v>check</v>
      </c>
      <c r="CM12" s="192"/>
      <c r="CN12" s="192">
        <f>SUM(CK8:CL11,CK7,CM9,CM10,CM11,CN10,CN11,CO11)*100</f>
        <v>48.63271912752928</v>
      </c>
      <c r="CO12" s="192"/>
      <c r="CP12" s="192"/>
      <c r="CQ12" s="192">
        <f>SUM(CK6,CL7,CM8,CN9,CO10,CP11)*100</f>
        <v>28.41649808886917</v>
      </c>
      <c r="CR12" s="192"/>
      <c r="CS12" s="192"/>
      <c r="CT12" s="192" t="s">
        <v>88</v>
      </c>
      <c r="CU12" s="192" t="s">
        <v>89</v>
      </c>
      <c r="CV12" s="204"/>
      <c r="DA12" s="201">
        <v>1.0</v>
      </c>
      <c r="DB12" s="202" t="s">
        <v>81</v>
      </c>
      <c r="DC12" s="203">
        <v>3.0</v>
      </c>
      <c r="DD12" s="192" t="e">
        <f t="shared" si="51"/>
        <v>#N/A</v>
      </c>
      <c r="DE12" s="204" t="e">
        <f t="shared" si="52"/>
        <v>#N/A</v>
      </c>
      <c r="DF12" t="e">
        <f t="shared" si="115"/>
        <v>#N/A</v>
      </c>
      <c r="DG12">
        <f>COUNTIF(DG6:DG9,"0")</f>
        <v>0.0</v>
      </c>
      <c r="DH12" s="195"/>
      <c r="DI12" s="192" t="e">
        <f>IF(DJ12&gt;0.9,"waw1",IF(DJ12&gt;0.85,"waw",IF(DJ12&gt;0.74,"high",IF(DJ12&gt;0.64,"medium",IF(DJ12&gt;0.54,"low",IF(DJ12&lt;0,"win","off"))))))</f>
        <v>#N/A</v>
      </c>
      <c r="DJ12" s="192" t="e">
        <f>CORREL(DJ6:DO11,DJ44:DO49)</f>
        <v>#N/A</v>
      </c>
      <c r="DK12" s="192" t="e">
        <f>IF(AND(DI12="waw1",DI13&gt;0.8,OR(DD39="high1",DD39="high"),DJ13&gt;0.489),"all met",IF(AND(DI12="high",DI13&gt;0.8,DJ13&gt;0.49,OR(DD39="high",DD39="high1")),"met","check"))</f>
        <v>#N/A</v>
      </c>
      <c r="DL12" s="192"/>
      <c r="DM12" s="192" t="e">
        <f>SUM(DJ8:DK11,DJ7,DL9,DL10,DL11,DM10,DM11,DN11)*100</f>
        <v>#N/A</v>
      </c>
      <c r="DN12" s="192"/>
      <c r="DO12" s="192"/>
      <c r="DP12" s="192" t="e">
        <f>SUM(DJ6,DK7,DL8,DM9,DN10,DO11)*100</f>
        <v>#N/A</v>
      </c>
      <c r="DQ12" s="192"/>
      <c r="DR12" s="192"/>
      <c r="DS12" s="192" t="s">
        <v>88</v>
      </c>
      <c r="DT12" s="192" t="s">
        <v>89</v>
      </c>
      <c r="DU12" s="204"/>
    </row>
    <row r="13" spans="8:8" ht="15.1">
      <c r="C13" t="s">
        <v>6</v>
      </c>
      <c r="D13" t="s">
        <v>7</v>
      </c>
      <c r="E13" s="201">
        <v>2.0</v>
      </c>
      <c r="F13" s="202" t="s">
        <v>81</v>
      </c>
      <c r="G13" s="203">
        <v>2.0</v>
      </c>
      <c r="H13" s="192">
        <f t="shared" si="38"/>
        <v>3.3631590716621624</v>
      </c>
      <c r="I13" s="204">
        <f t="shared" si="39"/>
        <v>10.0</v>
      </c>
      <c r="J13">
        <f t="shared" si="107"/>
        <v>3.0</v>
      </c>
      <c r="K13">
        <f>COUNTIF(K6:K9,"rt")</f>
        <v>0.0</v>
      </c>
      <c r="L13" s="195"/>
      <c r="M13" s="192">
        <f>CORREL(M6:M11,N5:S5)</f>
        <v>0.8848505675857783</v>
      </c>
      <c r="N13" s="192">
        <f>TTEST(N6:S11,N44:S49,1,2)</f>
        <v>0.4255830672924016</v>
      </c>
      <c r="O13" s="192">
        <f>ABS(M13-N12)</f>
        <v>0.5762899495832993</v>
      </c>
      <c r="P13" s="192" t="s">
        <v>87</v>
      </c>
      <c r="Q13" s="192" t="str">
        <f>IF(Q12&gt;75,"1",IF(Q12&gt;54,"1X",IF(Q12&gt;49,"Hadicap 2H",IF(T6&gt;75,"2",IF(T6&gt;54,"X2",IF(T6&gt;49,"Handiap 2A",IF(T12&gt;75,"X",IF(T12&gt;60,"likely X",IF(T12&lt;13,"12","don’t choose")))))))))</f>
        <v>don’t choose</v>
      </c>
      <c r="R13" s="192" t="str">
        <f>IF(AND(Q13="don’t choose",Q51="don’t choose"),"+1","")</f>
        <v>+1</v>
      </c>
      <c r="S13" s="192"/>
      <c r="T13" s="192"/>
      <c r="U13" s="192">
        <f t="shared" si="116" ref="U13:U17">(W6/$Y$16)*100</f>
        <v>4.792586912657859</v>
      </c>
      <c r="V13" s="212" t="s">
        <v>90</v>
      </c>
      <c r="W13" s="212">
        <f>SUM(O7:S11)</f>
        <v>0.4032559943260223</v>
      </c>
      <c r="X13" s="212">
        <f>SUM(N6:S6,N7:N11)</f>
        <v>0.5941381421389671</v>
      </c>
      <c r="Y13" s="204"/>
      <c r="Z13">
        <f t="shared" si="108"/>
        <v>-26.894603897320376</v>
      </c>
      <c r="AA13">
        <f t="shared" si="109"/>
        <v>1.0</v>
      </c>
      <c r="AD13" s="201">
        <v>2.0</v>
      </c>
      <c r="AE13" s="202">
        <f t="shared" si="41"/>
        <v>4.0</v>
      </c>
      <c r="AF13" s="203">
        <v>2.0</v>
      </c>
      <c r="AG13" s="192">
        <f t="shared" si="42"/>
        <v>7.080986247275726</v>
      </c>
      <c r="AH13" s="204">
        <f t="shared" si="43"/>
        <v>1.0</v>
      </c>
      <c r="AI13">
        <f t="shared" si="110"/>
        <v>1.0</v>
      </c>
      <c r="AJ13">
        <f>COUNTIF(AJ6:AJ9,"rt")</f>
        <v>1.0</v>
      </c>
      <c r="AK13" s="195"/>
      <c r="AL13" s="192">
        <f>CORREL(AL6:AL11,AM5:AR5)</f>
        <v>0.9989366518109342</v>
      </c>
      <c r="AM13" s="192">
        <f>TTEST(AM6:AR11,AM44:AR49,1,2)</f>
        <v>0.4247042044970545</v>
      </c>
      <c r="AN13" s="192">
        <f>ABS(AL13-AM12)</f>
        <v>0.690901754144932</v>
      </c>
      <c r="AO13" s="192" t="s">
        <v>87</v>
      </c>
      <c r="AP13" s="192" t="str">
        <f>IF(AP12&gt;75,"1",IF(AP12&gt;54,"1X",IF(AP12&gt;49,"Hadicap 2H",IF(AS6&gt;75,"2",IF(AS6&gt;54,"X2",IF(AS6&gt;49,"Handiap 2A",IF(AS12&gt;75,"X",IF(AS12&gt;60,"likely X",IF(AS12&lt;13,"12","don’t choose")))))))))</f>
        <v>don’t choose</v>
      </c>
      <c r="AQ13" s="192"/>
      <c r="AR13" s="192"/>
      <c r="AS13" s="192"/>
      <c r="AT13" s="192">
        <f t="shared" si="117" ref="AT13:AT17">(AV6/$AX$16)*100</f>
        <v>0.4508782344495558</v>
      </c>
      <c r="AU13" s="212" t="s">
        <v>90</v>
      </c>
      <c r="AV13" s="212">
        <f>SUM(AN7:AR11)</f>
        <v>0.7540109357847353</v>
      </c>
      <c r="AW13" s="212">
        <f>SUM(AM6:AR6,AM7:AM11)</f>
        <v>0.18981788500294486</v>
      </c>
      <c r="AX13" s="204"/>
      <c r="AY13">
        <f t="shared" si="111"/>
        <v>11.600618130763799</v>
      </c>
      <c r="AZ13">
        <f t="shared" si="112"/>
        <v>0.0</v>
      </c>
      <c r="BC13" s="201">
        <v>2.0</v>
      </c>
      <c r="BD13" s="202" t="s">
        <v>81</v>
      </c>
      <c r="BE13" s="203">
        <v>2.0</v>
      </c>
      <c r="BF13" s="192">
        <f t="shared" si="45"/>
        <v>7.080986247275726</v>
      </c>
      <c r="BG13" s="204">
        <f t="shared" si="46"/>
        <v>1.0</v>
      </c>
      <c r="BH13">
        <f t="shared" si="113"/>
        <v>1.0</v>
      </c>
      <c r="BI13">
        <f>COUNTIF(BI6:BI9,"rt")</f>
        <v>1.0</v>
      </c>
      <c r="BJ13" s="195"/>
      <c r="BK13" s="192">
        <f>CORREL(BK6:BK11,BL5:BQ5)</f>
        <v>0.9989366518109342</v>
      </c>
      <c r="BL13" s="192">
        <f>TTEST(BL6:BQ11,BL44:BQ49,1,2)</f>
        <v>0.4247042044970545</v>
      </c>
      <c r="BM13" s="192">
        <f>ABS(BK13-BL12)</f>
        <v>0.690901754144932</v>
      </c>
      <c r="BN13" s="192" t="s">
        <v>87</v>
      </c>
      <c r="BO13" s="192" t="str">
        <f>IF(BO12&gt;75,"1",IF(BO12&gt;54,"1X",IF(BO12&gt;49,"Hadicap 2H",IF(BR6&gt;75,"2",IF(BR6&gt;54,"X2",IF(BR6&gt;49,"Handiap 2A",IF(BR12&gt;75,"X",IF(BR12&gt;60,"likely X",IF(BR12&lt;13,"12","don’t choose")))))))))</f>
        <v>don’t choose</v>
      </c>
      <c r="BP13" s="192"/>
      <c r="BQ13" s="192"/>
      <c r="BR13" s="192"/>
      <c r="BS13" s="192"/>
      <c r="BT13" s="212" t="s">
        <v>90</v>
      </c>
      <c r="BU13" s="212">
        <f>SUM(BM7:BQ11)</f>
        <v>0.7540109357847353</v>
      </c>
      <c r="BV13" s="212">
        <f>SUM(BL6:BQ6,BL7:BL11)</f>
        <v>0.18981788500294486</v>
      </c>
      <c r="BW13" s="204"/>
      <c r="CB13" s="201">
        <v>2.0</v>
      </c>
      <c r="CC13" s="202" t="s">
        <v>81</v>
      </c>
      <c r="CD13" s="203">
        <v>2.0</v>
      </c>
      <c r="CE13" s="192">
        <f t="shared" si="48"/>
        <v>3.3631590716621624</v>
      </c>
      <c r="CF13" s="204">
        <f t="shared" si="49"/>
        <v>10.0</v>
      </c>
      <c r="CG13">
        <f t="shared" si="114"/>
        <v>3.0</v>
      </c>
      <c r="CH13">
        <f>COUNTIF(CH6:CH9,"rt")</f>
        <v>0.0</v>
      </c>
      <c r="CI13" s="195"/>
      <c r="CJ13" s="192">
        <v>0.8579410870273223</v>
      </c>
      <c r="CK13" s="192">
        <f>TTEST(CK6:CP11,CK44:CP49,1,2)</f>
        <v>0.4255830672924016</v>
      </c>
      <c r="CL13" s="192">
        <f>ABS(CJ13-CK12)</f>
        <v>0.5493804690248433</v>
      </c>
      <c r="CM13" s="192" t="s">
        <v>87</v>
      </c>
      <c r="CN13" s="192" t="str">
        <f>IF(CN12&gt;75,"1",IF(CN12&gt;54,"1X",IF(CN12&gt;49,"Hadicap 2H",IF(CQ6&gt;75,"2",IF(CQ6&gt;54,"X2",IF(CQ6&gt;49,"Handiap 2A",IF(CQ12&gt;75,"X",IF(CQ12&gt;60,"likely X",IF(CQ12&lt;13,"12","don’t choose")))))))))</f>
        <v>don’t choose</v>
      </c>
      <c r="CO13" s="192"/>
      <c r="CP13" s="192"/>
      <c r="CQ13" s="192"/>
      <c r="CR13" s="192"/>
      <c r="CS13" s="212" t="s">
        <v>90</v>
      </c>
      <c r="CT13" s="212">
        <f>SUM(CL7:CP11)</f>
        <v>0.4032559943260223</v>
      </c>
      <c r="CU13" s="212">
        <f>SUM(CK6:CP6,CK7:CK11)</f>
        <v>0.5941381421389671</v>
      </c>
      <c r="CV13" s="204"/>
      <c r="DA13" s="201">
        <v>2.0</v>
      </c>
      <c r="DB13" s="202" t="s">
        <v>81</v>
      </c>
      <c r="DC13" s="203">
        <v>2.0</v>
      </c>
      <c r="DD13" s="192" t="e">
        <f t="shared" si="51"/>
        <v>#N/A</v>
      </c>
      <c r="DE13" s="204" t="e">
        <f t="shared" si="52"/>
        <v>#N/A</v>
      </c>
      <c r="DF13" t="e">
        <f t="shared" si="115"/>
        <v>#N/A</v>
      </c>
      <c r="DG13">
        <f>COUNTIF(DG6:DG9,"rt")</f>
        <v>0.0</v>
      </c>
      <c r="DH13" s="195"/>
      <c r="DI13" s="192"/>
      <c r="DJ13" s="192" t="e">
        <f>TTEST(DJ6:DO11,DJ44:DO49,1,2)</f>
        <v>#N/A</v>
      </c>
      <c r="DK13" s="192" t="e">
        <f>ABS(DI13-DJ12)</f>
        <v>#N/A</v>
      </c>
      <c r="DL13" s="192" t="s">
        <v>87</v>
      </c>
      <c r="DM13" s="192" t="e">
        <f>IF(DM12&gt;75,"1",IF(DM12&gt;54,"1X",IF(DM12&gt;49,"Hadicap 2H",IF(DP6&gt;75,"2",IF(DP6&gt;54,"X2",IF(DP6&gt;49,"Handiap 2A",IF(DP12&gt;75,"X",IF(DP12&gt;60,"likely X",IF(DP12&lt;13,"12","don’t choose")))))))))</f>
        <v>#N/A</v>
      </c>
      <c r="DN13" s="192"/>
      <c r="DO13" s="192"/>
      <c r="DP13" s="192"/>
      <c r="DQ13" s="192"/>
      <c r="DR13" s="212" t="s">
        <v>90</v>
      </c>
      <c r="DS13" s="212" t="e">
        <f>SUM(DK7:DO11)</f>
        <v>#N/A</v>
      </c>
      <c r="DT13" s="212" t="e">
        <f>SUM(DJ6:DO6,DJ7:DJ11)</f>
        <v>#N/A</v>
      </c>
      <c r="DU13" s="204"/>
    </row>
    <row r="14" spans="8:8" ht="15.0">
      <c r="C14">
        <f>Sheet1!G59</f>
        <v>2.2180580556538043</v>
      </c>
      <c r="D14">
        <f>Sheet1!F59</f>
        <v>2.3120478137779177</v>
      </c>
      <c r="E14" s="201">
        <v>3.0</v>
      </c>
      <c r="F14" s="202" t="s">
        <v>81</v>
      </c>
      <c r="G14" s="213">
        <v>1.0</v>
      </c>
      <c r="H14" s="192">
        <f t="shared" si="38"/>
        <v>3.69102732711454</v>
      </c>
      <c r="I14" s="204">
        <f t="shared" si="39"/>
        <v>9.0</v>
      </c>
      <c r="J14">
        <f>SUM(J10:J13)</f>
        <v>7.0</v>
      </c>
      <c r="K14" t="str">
        <f>IF(K13&gt;0,"Rt",IF(K10&gt;3,"u2.5",IF(AND(K10&gt;2,K11&gt;0),"u2.5",IF(AND(K11&gt;K10,K11&gt;K12),"u3.5",IF(AND(K12&gt;K11,K12&gt;K10),"o2.5","u4.5")))))</f>
        <v>u2.5</v>
      </c>
      <c r="L14" s="195">
        <f>Q12/M15</f>
        <v>48.75978046140878</v>
      </c>
      <c r="M14" s="192">
        <f>T12/M15</f>
        <v>28.490741072114417</v>
      </c>
      <c r="N14" s="192">
        <f>T6/M15</f>
        <v>22.749478466476805</v>
      </c>
      <c r="O14" s="192" t="str">
        <f>IF(AND(O12="all met",O13&lt;0.7),"all met","not met")</f>
        <v>not met</v>
      </c>
      <c r="P14" s="192"/>
      <c r="Q14" s="192">
        <f>SUM(N6:N11,O7:O11,P8:P11,Q9:Q11,R10:R11,S11)</f>
        <v>0.7704921721639845</v>
      </c>
      <c r="R14" s="192">
        <f>SUM(S6:S11,R6:R10,Q6:Q9,P6:P8,O6:O7,N6)</f>
        <v>0.5110669451896968</v>
      </c>
      <c r="S14" s="192">
        <f>SUM(Q14,R14)</f>
        <v>1.281559117353681</v>
      </c>
      <c r="T14" s="192"/>
      <c r="U14" s="192">
        <f t="shared" si="116"/>
        <v>14.974046675556279</v>
      </c>
      <c r="V14" s="212" t="s">
        <v>87</v>
      </c>
      <c r="W14" s="212" t="str">
        <f>IF(X13&gt;0.8,"NO GG",IF(W13&gt;0.81,"GG","run"))</f>
        <v>run</v>
      </c>
      <c r="X14" s="212"/>
      <c r="Y14" s="204"/>
      <c r="Z14">
        <f t="shared" si="108"/>
        <v>-35.02944283305277</v>
      </c>
      <c r="AA14">
        <f t="shared" si="109"/>
        <v>1.0</v>
      </c>
      <c r="AD14" s="201">
        <v>3.0</v>
      </c>
      <c r="AE14" s="202">
        <f t="shared" si="41"/>
        <v>4.0</v>
      </c>
      <c r="AF14" s="203">
        <v>1.0</v>
      </c>
      <c r="AG14" s="192">
        <f t="shared" si="42"/>
        <v>4.628435507343872</v>
      </c>
      <c r="AH14" s="204">
        <f t="shared" si="43"/>
        <v>8.0</v>
      </c>
      <c r="AI14">
        <f>SUM(AI10:AI13)</f>
        <v>6.0</v>
      </c>
      <c r="AJ14" t="str">
        <f>IF(AJ13&gt;0,"Rt",IF(AJ10&gt;3,"u2.5",IF(AND(AJ10&gt;2,AJ11&gt;0),"u2.5",IF(AND(AJ11&gt;AJ10,AJ11&gt;AJ12),"u3.5",IF(AND(AJ12&gt;AJ11,AJ12&gt;AJ10),"o2.5","u4.5")))))</f>
        <v>Rt</v>
      </c>
      <c r="AK14" s="195">
        <f>AP12/AL15</f>
        <v>39.050592266931865</v>
      </c>
      <c r="AL14" s="192">
        <f>AS12/AL15</f>
        <v>20.420216338151437</v>
      </c>
      <c r="AM14" s="192">
        <f>AS6/AL15</f>
        <v>40.52919139491669</v>
      </c>
      <c r="AN14" s="192" t="str">
        <f>IF(AND(AN12="all met",AN13&lt;0.7),"all met","not met")</f>
        <v>not met</v>
      </c>
      <c r="AO14" s="192"/>
      <c r="AP14" s="192">
        <f>SUM(AM6:AM11,AN7:AN11,AO8:AO11,AP9:AP11,AQ10:AQ11,AR11)</f>
        <v>0.5613026315702561</v>
      </c>
      <c r="AQ14" s="192">
        <f>SUM(AR6:AR11,AQ6:AQ10,AP6:AP9,AO6:AO8,AN6:AN7,AM6)</f>
        <v>0.5752580762840921</v>
      </c>
      <c r="AR14" s="192">
        <f>SUM(AP14,AQ14)</f>
        <v>1.1365607078543483</v>
      </c>
      <c r="AS14" s="192"/>
      <c r="AT14" s="192">
        <f t="shared" si="117"/>
        <v>2.499329818771135</v>
      </c>
      <c r="AU14" s="212" t="s">
        <v>87</v>
      </c>
      <c r="AV14" s="212" t="str">
        <f>IF(AW13&gt;0.8,"NO GG",IF(AV13&gt;0.81,"GG","run"))</f>
        <v>run</v>
      </c>
      <c r="AW14" s="212"/>
      <c r="AX14" s="204"/>
      <c r="AY14">
        <f t="shared" si="111"/>
        <v>-4.407628126092199</v>
      </c>
      <c r="AZ14">
        <f t="shared" si="112"/>
        <v>1.0</v>
      </c>
      <c r="BC14" s="201">
        <v>3.0</v>
      </c>
      <c r="BD14" s="202" t="s">
        <v>81</v>
      </c>
      <c r="BE14" s="203">
        <v>1.0</v>
      </c>
      <c r="BF14" s="192">
        <f t="shared" si="45"/>
        <v>4.628435507343872</v>
      </c>
      <c r="BG14" s="204">
        <f t="shared" si="46"/>
        <v>8.0</v>
      </c>
      <c r="BH14">
        <f>SUM(BH10:BH13)</f>
        <v>6.0</v>
      </c>
      <c r="BI14" t="str">
        <f>IF(BI13&gt;0,"Rt",IF(BI10&gt;3,"u2.5",IF(AND(BI10&gt;2,BI11&gt;0),"u2.5",IF(AND(BI11&gt;BI10,BI11&gt;BI12),"u3.5",IF(AND(BI12&gt;BI11,BI12&gt;BI10),"o2.5","u4.5")))))</f>
        <v>Rt</v>
      </c>
      <c r="BJ14" s="195">
        <f>BO12/BK15</f>
        <v>39.050592266931865</v>
      </c>
      <c r="BK14" s="192">
        <f>BR12/BK15</f>
        <v>20.420216338151437</v>
      </c>
      <c r="BL14" s="192">
        <f>BR6/BK15</f>
        <v>40.52919139491669</v>
      </c>
      <c r="BM14" s="192" t="str">
        <f>IF(AND(BM12="all met",BM13&lt;0.7),"all met","not met")</f>
        <v>not met</v>
      </c>
      <c r="BN14" s="192"/>
      <c r="BO14" s="192">
        <f>SUM(BL6:BL11,BM7:BM11,BN8:BN11,BO9:BO11,BP10:BP11,BQ11)</f>
        <v>0.5613026315702561</v>
      </c>
      <c r="BP14" s="192">
        <f>SUM(BQ6:BQ11,BP6:BP10,BO6:BO9,BN6:BN8,BM6:BM7,BL6)</f>
        <v>0.5752580762840921</v>
      </c>
      <c r="BQ14" s="192">
        <f>SUM(BO14,BP14)</f>
        <v>1.1365607078543483</v>
      </c>
      <c r="BR14" s="192"/>
      <c r="BS14" s="192"/>
      <c r="BT14" s="212" t="s">
        <v>87</v>
      </c>
      <c r="BU14" s="212" t="str">
        <f>IF(BV13&gt;0.8,"NO GG",IF(BU13&gt;0.81,"GG","run"))</f>
        <v>run</v>
      </c>
      <c r="BV14" s="212"/>
      <c r="BW14" s="204"/>
      <c r="CB14" s="201">
        <v>3.0</v>
      </c>
      <c r="CC14" s="202" t="s">
        <v>81</v>
      </c>
      <c r="CD14" s="203">
        <v>1.0</v>
      </c>
      <c r="CE14" s="192">
        <f t="shared" si="48"/>
        <v>3.69102732711454</v>
      </c>
      <c r="CF14" s="204">
        <f t="shared" si="49"/>
        <v>9.0</v>
      </c>
      <c r="CG14">
        <f>SUM(CG10:CG13)</f>
        <v>7.0</v>
      </c>
      <c r="CH14" t="str">
        <f>IF(CH13&gt;0,"Rt",IF(CH10&gt;3,"u2.5",IF(AND(CH10&gt;2,CH11&gt;0),"u2.5",IF(AND(CH11&gt;CH10,CH11&gt;CH12),"u3.5",IF(AND(CH12&gt;CH11,CH12&gt;CH10),"o2.5","u4.5")))))</f>
        <v>u2.5</v>
      </c>
      <c r="CI14" s="195">
        <f>CN12/CJ15</f>
        <v>48.75978046140878</v>
      </c>
      <c r="CJ14" s="192">
        <f>CQ12/CJ15</f>
        <v>28.490741072114417</v>
      </c>
      <c r="CK14" s="192">
        <f>CQ6/CJ15</f>
        <v>22.749478466476805</v>
      </c>
      <c r="CL14" s="192" t="str">
        <f>IF(AND(CL12="all met",CL13&lt;0.7),"all met","not met")</f>
        <v>not met</v>
      </c>
      <c r="CM14" s="192"/>
      <c r="CN14" s="192">
        <f>SUM(CK6:CK11,CL7:CL11,CM8:CM11,CN9:CN11,CO10:CO11,CP11)</f>
        <v>0.7704921721639845</v>
      </c>
      <c r="CO14" s="192">
        <f>SUM(CP6:CP11,CO6:CO10,CN6:CN9,CM6:CM8,CL6:CL7,CK6)</f>
        <v>0.5110669451896968</v>
      </c>
      <c r="CP14" s="192">
        <f>SUM(CN14,CO14)</f>
        <v>1.281559117353681</v>
      </c>
      <c r="CQ14" s="192"/>
      <c r="CR14" s="192"/>
      <c r="CS14" s="212" t="s">
        <v>87</v>
      </c>
      <c r="CT14" s="212" t="str">
        <f>IF(CU13&gt;0.8,"NO GG",IF(CT13&gt;0.81,"GG","run"))</f>
        <v>run</v>
      </c>
      <c r="CU14" s="212"/>
      <c r="CV14" s="204"/>
      <c r="DA14" s="201">
        <v>3.0</v>
      </c>
      <c r="DB14" s="202" t="s">
        <v>81</v>
      </c>
      <c r="DC14" s="203">
        <v>1.0</v>
      </c>
      <c r="DD14" s="192" t="e">
        <f t="shared" si="51"/>
        <v>#N/A</v>
      </c>
      <c r="DE14" s="204" t="e">
        <f t="shared" si="52"/>
        <v>#N/A</v>
      </c>
      <c r="DF14" t="e">
        <f>SUM(DF10:DF13)</f>
        <v>#N/A</v>
      </c>
      <c r="DG14" t="str">
        <f>IF(DG13&gt;0,"Rt",IF(DG10&gt;3,"u2.5",IF(AND(DG10&gt;2,DG11&gt;0),"u2.5",IF(AND(DG11&gt;DG10,DG11&gt;DG12),"u3.5",IF(AND(DG12&gt;DG11,DG12&gt;DG10),"o2.5","u4.5")))))</f>
        <v>u4.5</v>
      </c>
      <c r="DH14" s="195" t="e">
        <f>DM12/DI15</f>
        <v>#N/A</v>
      </c>
      <c r="DI14" s="192" t="e">
        <f>DP12/DI15</f>
        <v>#N/A</v>
      </c>
      <c r="DJ14" s="192" t="e">
        <f>DP6/DI15</f>
        <v>#N/A</v>
      </c>
      <c r="DK14" s="192" t="e">
        <f>IF(AND(DK12="all met",DK13&lt;0.7),"all met","not met")</f>
        <v>#N/A</v>
      </c>
      <c r="DL14" s="192"/>
      <c r="DM14" s="192" t="e">
        <f>SUM(DJ6:DJ11,DK7:DK11,DL8:DL11,DM9:DM11,DN10:DN11,DO11)</f>
        <v>#N/A</v>
      </c>
      <c r="DN14" s="192" t="e">
        <f>SUM(DO6:DO11,DN6:DN10,DM6:DM9,DL6:DL8,DK6:DK7,DJ6)</f>
        <v>#N/A</v>
      </c>
      <c r="DO14" s="192" t="e">
        <f>SUM(DM14,DN14)</f>
        <v>#N/A</v>
      </c>
      <c r="DP14" s="192"/>
      <c r="DQ14" s="192"/>
      <c r="DR14" s="212" t="s">
        <v>87</v>
      </c>
      <c r="DS14" s="212" t="e">
        <f>IF(DT13&gt;0.8,"NO GG",IF(DS13&gt;0.81,"GG","run"))</f>
        <v>#N/A</v>
      </c>
      <c r="DT14" s="212"/>
      <c r="DU14" s="204"/>
    </row>
    <row r="15" spans="8:8" ht="15.0">
      <c r="C15">
        <f>Sheet1!K59</f>
        <v>1.3033016376991597</v>
      </c>
      <c r="D15">
        <f>Sheet1!J59</f>
        <v>0.8091135184020133</v>
      </c>
      <c r="E15" s="201">
        <v>3.0</v>
      </c>
      <c r="F15" s="202" t="s">
        <v>81</v>
      </c>
      <c r="G15" s="203">
        <v>0.0</v>
      </c>
      <c r="H15" s="192">
        <f t="shared" si="38"/>
        <v>4.597642194963105</v>
      </c>
      <c r="I15" s="204">
        <f t="shared" si="39"/>
        <v>7.0</v>
      </c>
      <c r="J15">
        <f t="shared" si="118" ref="J15:J18">IF(J10=2,3,J10)</f>
        <v>3.0</v>
      </c>
      <c r="K15" t="str">
        <f>IF((K10+K11)&gt;3,"firm",IF((K10+K11+K12)&gt;3,"in line","check"))</f>
        <v>firm</v>
      </c>
      <c r="L15" s="195">
        <f>M15-(L14/100)</f>
        <v>0.509796331850902</v>
      </c>
      <c r="M15" s="192">
        <f>SUM(N6:S11)</f>
        <v>0.9973941364649895</v>
      </c>
      <c r="N15" s="192">
        <f>M15-(N14/100)</f>
        <v>0.769899351800222</v>
      </c>
      <c r="O15" s="192"/>
      <c r="P15" t="s">
        <v>91</v>
      </c>
      <c r="Q15">
        <f>Q14-R14</f>
        <v>0.25942522697428805</v>
      </c>
      <c r="R15">
        <f>S15/(S15+S15)*100</f>
        <v>50.0</v>
      </c>
      <c r="S15" s="192">
        <f>IF(Q15&lt;0,-Q15,Q15)</f>
        <v>0.25942522697428805</v>
      </c>
      <c r="T15" s="192"/>
      <c r="U15" s="192">
        <f t="shared" si="116"/>
        <v>25.788886843580585</v>
      </c>
      <c r="V15" s="214" t="s">
        <v>92</v>
      </c>
      <c r="W15" s="214" t="s">
        <v>93</v>
      </c>
      <c r="X15" s="192">
        <f>SUM(X6:X10)</f>
        <v>2.081622807864654</v>
      </c>
      <c r="Y15" s="204">
        <f>(W9/X16)*100</f>
        <v>28.70580760519492</v>
      </c>
      <c r="Z15">
        <f>Z10-ABS(Z14)</f>
        <v>-4.614616658368597</v>
      </c>
      <c r="AA15" t="str">
        <f>IF(AND(Z15&lt;0,AY15&lt;0),"both",IF(Z15&lt;0,"Yes1",IF(OR(Z15&lt;0,AY15&lt;0),"yes","no")))</f>
        <v>Yes1</v>
      </c>
      <c r="AC15">
        <f>IF(AC16="no, no",1,IF(AC16="no, yes",2,3))</f>
        <v>3.0</v>
      </c>
      <c r="AD15" s="201">
        <v>3.0</v>
      </c>
      <c r="AE15" s="202">
        <f t="shared" si="41"/>
        <v>3.0</v>
      </c>
      <c r="AF15" s="203">
        <v>0.0</v>
      </c>
      <c r="AG15" s="192">
        <f t="shared" si="42"/>
        <v>2.0175986195002227</v>
      </c>
      <c r="AH15" s="204">
        <f t="shared" si="43"/>
        <v>20.0</v>
      </c>
      <c r="AI15">
        <f t="shared" si="119" ref="AI15:AI18">IF(AI10=2,3,AI10)</f>
        <v>0.0</v>
      </c>
      <c r="AJ15" t="str">
        <f>IF((AJ10+AJ11)&gt;3,"firm",IF((AJ10+AJ11+AJ12)&gt;3,"in line","check"))</f>
        <v>check</v>
      </c>
      <c r="AK15" s="195">
        <f>AL15-(AK14/100)</f>
        <v>0.5533228981183611</v>
      </c>
      <c r="AL15" s="192">
        <f>SUM(AM6:AR11)</f>
        <v>0.9438288207876803</v>
      </c>
      <c r="AM15" s="192">
        <f>AL15-(AM14/100)</f>
        <v>0.5385369068385131</v>
      </c>
      <c r="AN15" s="192"/>
      <c r="AO15" t="s">
        <v>91</v>
      </c>
      <c r="AP15">
        <f>AP14-AQ14</f>
        <v>-0.01395544471383603</v>
      </c>
      <c r="AQ15">
        <f>AR15/(AR15+AR15)*100</f>
        <v>50.0</v>
      </c>
      <c r="AR15" s="192">
        <f>IF(AP15&lt;0,-AP15,AP15)</f>
        <v>0.01395544471383603</v>
      </c>
      <c r="AS15" s="192"/>
      <c r="AT15" s="192">
        <f t="shared" si="117"/>
        <v>7.1526414811009476</v>
      </c>
      <c r="AU15" s="214" t="s">
        <v>92</v>
      </c>
      <c r="AV15" s="214" t="s">
        <v>93</v>
      </c>
      <c r="AW15" s="192">
        <f>SUM(AW6:AW10)</f>
        <v>3.6217931600119524</v>
      </c>
      <c r="AX15" s="204">
        <f>(AV7/AW16)*100</f>
        <v>5.374168420472869</v>
      </c>
      <c r="AY15">
        <f>AY10-ABS(AY14)</f>
        <v>34.6906154050087</v>
      </c>
      <c r="BB15">
        <f>IF(BB16="no, no",1,IF(BB16="no, yes",2,3))</f>
        <v>3.0</v>
      </c>
      <c r="BC15" s="201">
        <v>3.0</v>
      </c>
      <c r="BD15" s="202" t="s">
        <v>81</v>
      </c>
      <c r="BE15" s="203">
        <v>0.0</v>
      </c>
      <c r="BF15" s="192">
        <f t="shared" si="45"/>
        <v>2.0175986195002227</v>
      </c>
      <c r="BG15" s="204">
        <f t="shared" si="46"/>
        <v>20.0</v>
      </c>
      <c r="BH15">
        <f t="shared" si="120" ref="BH15:BH18">IF(BH10=2,3,BH10)</f>
        <v>0.0</v>
      </c>
      <c r="BI15" t="str">
        <f>IF((BI10+BI11)&gt;3,"firm",IF((BI10+BI11+BI12)&gt;3,"in line","check"))</f>
        <v>check</v>
      </c>
      <c r="BJ15" s="195">
        <f>BK15-(BJ14/100)</f>
        <v>0.5533228981183611</v>
      </c>
      <c r="BK15" s="192">
        <f>SUM(BL6:BQ11)</f>
        <v>0.9438288207876803</v>
      </c>
      <c r="BL15" s="192">
        <f>BK15-(BL14/100)</f>
        <v>0.5385369068385131</v>
      </c>
      <c r="BM15" s="192"/>
      <c r="BN15" t="s">
        <v>91</v>
      </c>
      <c r="BO15">
        <f>BO14-BP14</f>
        <v>-0.01395544471383603</v>
      </c>
      <c r="BP15">
        <f>BQ15/(BQ15+BQ15)*100</f>
        <v>50.0</v>
      </c>
      <c r="BQ15" s="192">
        <f>IF(BO15&lt;0,-BO15,BO15)</f>
        <v>0.01395544471383603</v>
      </c>
      <c r="BR15" s="192"/>
      <c r="BS15" s="192"/>
      <c r="BT15" s="214" t="s">
        <v>92</v>
      </c>
      <c r="BU15" s="214" t="s">
        <v>93</v>
      </c>
      <c r="BV15" s="192"/>
      <c r="BW15" s="204"/>
      <c r="CA15">
        <f>IF(CA16="no, no",1,IF(CA16="no, yes",2,3))</f>
        <v>2.0</v>
      </c>
      <c r="CB15" s="201">
        <v>3.0</v>
      </c>
      <c r="CC15" s="202" t="s">
        <v>81</v>
      </c>
      <c r="CD15" s="203">
        <v>0.0</v>
      </c>
      <c r="CE15" s="192">
        <f t="shared" si="48"/>
        <v>4.597642194963105</v>
      </c>
      <c r="CF15" s="204">
        <f t="shared" si="49"/>
        <v>7.0</v>
      </c>
      <c r="CG15">
        <f t="shared" si="121" ref="CG15:CG18">IF(CG10=2,3,CG10)</f>
        <v>3.0</v>
      </c>
      <c r="CH15" t="str">
        <f>IF((CH10+CH11)&gt;3,"firm",IF((CH10+CH11+CH12)&gt;3,"in line","check"))</f>
        <v>firm</v>
      </c>
      <c r="CI15" s="195">
        <f>CJ15-(CI14/100)</f>
        <v>0.509796331850902</v>
      </c>
      <c r="CJ15" s="192">
        <f>SUM(CK6:CP11)</f>
        <v>0.9973941364649895</v>
      </c>
      <c r="CK15" s="192">
        <f>CJ15-(CK14/100)</f>
        <v>0.769899351800222</v>
      </c>
      <c r="CL15" s="192"/>
      <c r="CM15" t="s">
        <v>91</v>
      </c>
      <c r="CN15">
        <f>CN14-CO14</f>
        <v>0.25942522697428805</v>
      </c>
      <c r="CO15">
        <f>CP15/(CP15+CP15)*100</f>
        <v>50.0</v>
      </c>
      <c r="CP15" s="192">
        <f>IF(CN15&lt;0,-CN15,CN15)</f>
        <v>0.25942522697428805</v>
      </c>
      <c r="CQ15" s="192"/>
      <c r="CR15" s="192"/>
      <c r="CS15" s="214" t="s">
        <v>92</v>
      </c>
      <c r="CT15" s="214" t="s">
        <v>93</v>
      </c>
      <c r="CU15" s="192"/>
      <c r="CV15" s="204"/>
      <c r="CZ15">
        <f>IF(CZ16="no, no",1,IF(CZ16="no, yes",2,3))</f>
        <v>3.0</v>
      </c>
      <c r="DA15" s="201">
        <v>3.0</v>
      </c>
      <c r="DB15" s="202" t="s">
        <v>81</v>
      </c>
      <c r="DC15" s="203">
        <v>0.0</v>
      </c>
      <c r="DD15" s="192" t="e">
        <f t="shared" si="51"/>
        <v>#N/A</v>
      </c>
      <c r="DE15" s="204" t="e">
        <f t="shared" si="52"/>
        <v>#N/A</v>
      </c>
      <c r="DF15" t="e">
        <f t="shared" si="122" ref="DF15:DF18">IF(DF10=2,3,DF10)</f>
        <v>#N/A</v>
      </c>
      <c r="DG15" t="str">
        <f>IF((DG10+DG11)&gt;3,"firm",IF((DG10+DG11+DG12)&gt;3,"in line","check"))</f>
        <v>check</v>
      </c>
      <c r="DH15" s="195" t="e">
        <f>DI15-(DH14/100)</f>
        <v>#N/A</v>
      </c>
      <c r="DI15" s="192" t="e">
        <f>SUM(DJ6:DO11)</f>
        <v>#N/A</v>
      </c>
      <c r="DJ15" s="192" t="e">
        <f>DI15-(DJ14/100)</f>
        <v>#N/A</v>
      </c>
      <c r="DK15" s="192"/>
      <c r="DL15" t="s">
        <v>91</v>
      </c>
      <c r="DM15" t="e">
        <f>DM14-DN14</f>
        <v>#N/A</v>
      </c>
      <c r="DN15" t="e">
        <f>DO15/(DO15+DO15)*100</f>
        <v>#N/A</v>
      </c>
      <c r="DO15" s="192" t="e">
        <f>IF(DM15&lt;0,-DM15,DM15)</f>
        <v>#N/A</v>
      </c>
      <c r="DP15" s="192"/>
      <c r="DQ15" s="192"/>
      <c r="DR15" s="214" t="s">
        <v>92</v>
      </c>
      <c r="DS15" s="214" t="s">
        <v>93</v>
      </c>
      <c r="DT15" s="192"/>
      <c r="DU15" s="204"/>
    </row>
    <row r="16" spans="8:8" ht="24.75" customHeight="1">
      <c r="C16">
        <f>Sheet1!O59</f>
        <v>1.3033016376991597</v>
      </c>
      <c r="D16">
        <f>Sheet1!N59</f>
        <v>0.8091135184020133</v>
      </c>
      <c r="E16" s="201">
        <v>2.0</v>
      </c>
      <c r="F16" s="202" t="s">
        <v>81</v>
      </c>
      <c r="G16" s="203">
        <v>3.0</v>
      </c>
      <c r="H16" s="192">
        <f t="shared" si="38"/>
        <v>0.8999911630456792</v>
      </c>
      <c r="I16" s="204">
        <f t="shared" si="39"/>
        <v>16.0</v>
      </c>
      <c r="J16">
        <f t="shared" si="118"/>
        <v>1.0</v>
      </c>
      <c r="K16" t="str">
        <f>_xlfn.TEXTJOIN(", ", ,K15,K53)</f>
        <v>firm, check</v>
      </c>
      <c r="L16" s="195">
        <f>IF(N15=MIN(L15,M16,N15),2,IF(M16=MIN(L15,M16,N15),"x",1))</f>
        <v>1.0</v>
      </c>
      <c r="M16" s="192">
        <f>M15-(M14/100)</f>
        <v>0.712486725743846</v>
      </c>
      <c r="N16" s="192" t="str">
        <f>IF(AND(OR(L16=1,L16=2),OR(L15&lt;0.3,N15&lt;0.3)),"win","edge")</f>
        <v>edge</v>
      </c>
      <c r="O16" s="192">
        <f>AVERAGE(Sheet1!A74,(Sheet1!A114*100))</f>
        <v>62.5</v>
      </c>
      <c r="P16" s="192" t="s">
        <v>94</v>
      </c>
      <c r="Q16" s="192">
        <f>AVERAGE(Q14,R14)</f>
        <v>0.6407795586768406</v>
      </c>
      <c r="R16" s="192"/>
      <c r="S16" s="192"/>
      <c r="T16" s="192"/>
      <c r="U16" s="192">
        <f t="shared" si="116"/>
        <v>33.447301948660176</v>
      </c>
      <c r="V16" s="215">
        <f>SUM(O6,N7,P7,Q8,R9,S10,O8,P9,Q10,R11,P11,O10,N9,N11,Q6,R7,S8,S6)</f>
        <v>0.4917279477890003</v>
      </c>
      <c r="W16" s="215">
        <f>SUM(N6,O7,P8,Q9,R10,S11,P6,Q7,R8,S9,R6,S7,N8,O9,P10,Q11,O11,N10)</f>
        <v>0.5056661886759892</v>
      </c>
      <c r="X16" s="192">
        <f>SUM(W6:W10)</f>
        <v>2.9053478744602934</v>
      </c>
      <c r="Y16" s="204">
        <f>AVERAGEA(X15,X16)</f>
        <v>2.493485341162474</v>
      </c>
      <c r="Z16">
        <f>IF(Z10&gt;0,Z10)+IF(Z11&gt;0,Z11)+IF(Z12&gt;0,Z12)+IF(Z13&gt;0,Z13)+IF(Z14&gt;0,Z14)</f>
        <v>40.4667328235716</v>
      </c>
      <c r="AA16" t="str">
        <f>IF(AND(Z18=3,AY18=3),"ok","not upto")</f>
        <v>not upto</v>
      </c>
      <c r="AC16" t="str">
        <f>_xlfn.TEXTJOIN(", ", ,AC17,AC55)</f>
        <v>yes, no</v>
      </c>
      <c r="AD16" s="201">
        <v>2.0</v>
      </c>
      <c r="AE16" s="202">
        <f t="shared" si="41"/>
        <v>5.0</v>
      </c>
      <c r="AF16" s="203">
        <v>3.0</v>
      </c>
      <c r="AG16" s="192">
        <f t="shared" si="42"/>
        <v>5.4146693429080885</v>
      </c>
      <c r="AH16" s="204">
        <f t="shared" si="43"/>
        <v>5.0</v>
      </c>
      <c r="AI16">
        <f t="shared" si="119"/>
        <v>3.0</v>
      </c>
      <c r="AJ16" t="str">
        <f>_xlfn.TEXTJOIN(", ", ,AJ15,AJ53)</f>
        <v>check, firm</v>
      </c>
      <c r="AK16" s="195">
        <f>IF(AM15=MIN(AK15,AL16,AM15),2,IF(AL16=MIN(AK15,AL16,AM15),"x",1))</f>
        <v>2.0</v>
      </c>
      <c r="AL16" s="192">
        <f>AL15-(AL14/100)</f>
        <v>0.7396266574061661</v>
      </c>
      <c r="AM16" s="192" t="str">
        <f>IF(AND(OR(AK16=1,AK16=2),OR(AK15&lt;0.3,AM15&lt;0.3)),"win","edge")</f>
        <v>edge</v>
      </c>
      <c r="AN16" s="192" t="str">
        <f>IF(AND(OR(AK16=1,AK16=2),OR(AK15&lt;0.3,AM15&lt;0.3)),"yes","no")</f>
        <v>no</v>
      </c>
      <c r="AO16" s="192" t="s">
        <v>94</v>
      </c>
      <c r="AP16" s="192">
        <f>AVERAGE(AP14,AQ14)</f>
        <v>0.5682803539271741</v>
      </c>
      <c r="AQ16" s="192"/>
      <c r="AR16" s="192"/>
      <c r="AS16" s="192"/>
      <c r="AT16" s="192">
        <f t="shared" si="117"/>
        <v>14.199690934618122</v>
      </c>
      <c r="AU16" s="215">
        <f>SUM(AN6,AM7,AO7,AP8,AQ9,AR10,AN8,AO9,AP10,AQ11,AO11,AN10,AM9,AM11,AP6,AQ7,AR8,AR6)</f>
        <v>0.4719065127254889</v>
      </c>
      <c r="AV16" s="215">
        <f>SUM(AM6,AN7,AO8,AP9,AQ10,AR11,AO6,AP7,AQ8,AR9,AQ6,AR7,AM8,AN9,AO10,AP11,AN11,AM10)</f>
        <v>0.47192230806219126</v>
      </c>
      <c r="AW16" s="192">
        <f>SUM(AV6:AV10)</f>
        <v>1.097350943926449</v>
      </c>
      <c r="AX16" s="204">
        <f>AVERAGEA(AW15,AW16)</f>
        <v>2.3595720519692005</v>
      </c>
      <c r="AY16">
        <f>IF(AY10&gt;0,AY10)+IF(AY11&gt;0,AY11)+IF(AY12&gt;0,AY12)+IF(AY13&gt;0,AY13)+IF(AY14&gt;0,AY14)</f>
        <v>111.394919062121</v>
      </c>
      <c r="BB16" t="str">
        <f>_xlfn.TEXTJOIN(", ", ,BB17,BB55)</f>
        <v>yes, no</v>
      </c>
      <c r="BC16" s="201">
        <v>2.0</v>
      </c>
      <c r="BD16" s="202" t="s">
        <v>81</v>
      </c>
      <c r="BE16" s="203">
        <v>3.0</v>
      </c>
      <c r="BF16" s="192">
        <f t="shared" si="45"/>
        <v>5.4146693429080885</v>
      </c>
      <c r="BG16" s="204">
        <f t="shared" si="46"/>
        <v>5.0</v>
      </c>
      <c r="BH16">
        <f t="shared" si="120"/>
        <v>3.0</v>
      </c>
      <c r="BI16" t="str">
        <f>_xlfn.TEXTJOIN(", ", ,BI15,BI53)</f>
        <v>check, firm</v>
      </c>
      <c r="BJ16" s="195">
        <f>IF(BL15=MIN(BJ15,BK16,BL15),2,IF(BK16=MIN(BJ15,BK16,BL15),"x",1))</f>
        <v>2.0</v>
      </c>
      <c r="BK16" s="192">
        <f>BK15-(BK14/100)</f>
        <v>0.7396266574061661</v>
      </c>
      <c r="BL16" s="192" t="str">
        <f>IF(AND(OR(BJ16=1,BJ16=2),OR(BJ15&lt;0.3,BL15&lt;0.3)),"win","edge")</f>
        <v>edge</v>
      </c>
      <c r="BM16" s="192"/>
      <c r="BN16" s="192" t="s">
        <v>94</v>
      </c>
      <c r="BO16" s="192">
        <f>AVERAGE(BO14,BP14)</f>
        <v>0.5682803539271741</v>
      </c>
      <c r="BP16" s="192"/>
      <c r="BQ16" s="192"/>
      <c r="BR16" s="192"/>
      <c r="BS16" s="192"/>
      <c r="BT16" s="215">
        <f>SUM(BM6,BL7,BN7,BO8,BP9,BQ10,BM8,BN9,BO10,BP11,BN11,BM10,BL9,BL11,BO6,BP7,BQ8,BQ6)</f>
        <v>0.4719065127254889</v>
      </c>
      <c r="BU16" s="215">
        <f>SUM(BL6,BM7,BN8,BO9,BP10,BQ11,BN6,BO7,BP8,BQ9,BP6,BQ7,BL8,BM9,BN10,BO11,BM11,BL10)</f>
        <v>0.47192230806219126</v>
      </c>
      <c r="BV16" s="192"/>
      <c r="BW16" s="204"/>
      <c r="CA16" t="str">
        <f>_xlfn.TEXTJOIN(", ", ,CA17,CA55)</f>
        <v>no, yes</v>
      </c>
      <c r="CB16" s="201">
        <v>2.0</v>
      </c>
      <c r="CC16" s="202" t="s">
        <v>81</v>
      </c>
      <c r="CD16" s="203">
        <v>3.0</v>
      </c>
      <c r="CE16" s="192">
        <f t="shared" si="48"/>
        <v>0.8999911630456792</v>
      </c>
      <c r="CF16" s="204">
        <f t="shared" si="49"/>
        <v>16.0</v>
      </c>
      <c r="CG16">
        <f t="shared" si="121"/>
        <v>1.0</v>
      </c>
      <c r="CH16" t="str">
        <f>_xlfn.TEXTJOIN(", ", ,CH15,CH53)</f>
        <v>firm, check</v>
      </c>
      <c r="CI16" s="195">
        <f>IF(CK15=MIN(CI15,CJ16,CK15),2,IF(CJ16=MIN(CI15,CJ16,CK15),"x",1))</f>
        <v>1.0</v>
      </c>
      <c r="CJ16" s="192">
        <f>CJ15-(CJ14/100)</f>
        <v>0.712486725743846</v>
      </c>
      <c r="CK16" s="192" t="str">
        <f>IF(AND(OR(CI16=1,CI16=2),OR(CI15&lt;0.3,CK15&lt;0.3)),"win","edge")</f>
        <v>edge</v>
      </c>
      <c r="CL16" s="192"/>
      <c r="CM16" s="192" t="s">
        <v>94</v>
      </c>
      <c r="CN16" s="192">
        <f>AVERAGE(CN14,CO14)</f>
        <v>0.6407795586768406</v>
      </c>
      <c r="CO16" s="192"/>
      <c r="CP16" s="192"/>
      <c r="CQ16" s="192"/>
      <c r="CR16" s="192"/>
      <c r="CS16" s="215">
        <f>SUM(CL6,CK7,CM7,CN8,CO9,CP10,CL8,CM9,CN10,CO11,CM11,CL10,CK9,CK11,CN6,CO7,CP8,CP6)</f>
        <v>0.4917279477890003</v>
      </c>
      <c r="CT16" s="215">
        <f>SUM(CK6,CL7,CM8,CN9,CO10,CP11,CM6,CN7,CO8,CP9,CO6,CP7,CK8,CL9,CM10,CN11,CL11,CK10)</f>
        <v>0.5056661886759892</v>
      </c>
      <c r="CU16" s="192"/>
      <c r="CV16" s="204"/>
      <c r="CZ16" t="str">
        <f>_xlfn.TEXTJOIN(", ", ,CZ17,CZ55)</f>
        <v>yes, yes</v>
      </c>
      <c r="DA16" s="201">
        <v>2.0</v>
      </c>
      <c r="DB16" s="202" t="s">
        <v>81</v>
      </c>
      <c r="DC16" s="203">
        <v>3.0</v>
      </c>
      <c r="DD16" s="192" t="e">
        <f t="shared" si="51"/>
        <v>#N/A</v>
      </c>
      <c r="DE16" s="204" t="e">
        <f t="shared" si="52"/>
        <v>#N/A</v>
      </c>
      <c r="DF16" t="e">
        <f t="shared" si="122"/>
        <v>#N/A</v>
      </c>
      <c r="DG16" t="str">
        <f>_xlfn.TEXTJOIN(", ", ,DG15,DG53)</f>
        <v>check, check</v>
      </c>
      <c r="DH16" s="195" t="e">
        <f>IF(DJ15=MIN(DH15,DI16,DJ15),2,IF(DI16=MIN(DH15,DI16,DJ15),"x",1))</f>
        <v>#N/A</v>
      </c>
      <c r="DI16" s="192" t="e">
        <f>DI15-(DI14/100)</f>
        <v>#N/A</v>
      </c>
      <c r="DJ16" s="192" t="e">
        <f>IF(AND(OR(DH16=1,DH16=2),OR(DH15&lt;0.3,DJ15&lt;0.3)),"win","edge")</f>
        <v>#N/A</v>
      </c>
      <c r="DK16" s="192"/>
      <c r="DL16" s="192" t="s">
        <v>94</v>
      </c>
      <c r="DM16" s="192" t="e">
        <f>AVERAGE(DM14,DN14)</f>
        <v>#N/A</v>
      </c>
      <c r="DN16" s="192"/>
      <c r="DO16" s="192"/>
      <c r="DP16" s="192"/>
      <c r="DQ16" s="192"/>
      <c r="DR16" s="215" t="e">
        <f>SUM(DK6,DJ7,DL7,DM8,DN9,DO10,DK8,DL9,DM10,DN11,DL11,DK10,DJ9,DJ11,DM6,DN7,DO8,DO6)</f>
        <v>#N/A</v>
      </c>
      <c r="DS16" s="215" t="e">
        <f>SUM(DJ6,DK7,DL8,DM9,DN10,DO11,DL6,DM7,DN8,DO9,DN6,DO7,DJ8,DK9,DL10,DM11,DK11,DJ10)</f>
        <v>#N/A</v>
      </c>
      <c r="DT16" s="192"/>
      <c r="DU16" s="204"/>
    </row>
    <row r="17" spans="8:8" ht="16.5" customHeight="1">
      <c r="C17">
        <f>Sheet1!S59</f>
        <v>2.2180580556538043</v>
      </c>
      <c r="D17">
        <f>Sheet1!R59</f>
        <v>2.3120478137779177</v>
      </c>
      <c r="E17" s="201">
        <v>1.0</v>
      </c>
      <c r="F17" s="202" t="s">
        <v>81</v>
      </c>
      <c r="G17" s="203">
        <v>4.0</v>
      </c>
      <c r="H17" s="192">
        <f t="shared" si="38"/>
        <v>0.27334877945567077</v>
      </c>
      <c r="I17" s="204">
        <f t="shared" si="39"/>
        <v>20.0</v>
      </c>
      <c r="J17">
        <f t="shared" si="118"/>
        <v>1.0</v>
      </c>
      <c r="K17" t="str">
        <f>IF(K16="firm, firm","All1",IF(K16="firm, in line",1,IF(K16="in line, firm",1,IF(K16="in line, in line","All",IF(K16="in line, check","1st half",IF(K16="check, in line","2nd half","out"))))))</f>
        <v>out</v>
      </c>
      <c r="L17" s="216">
        <f>AVERAGE(L15,M16,N15)</f>
        <v>0.6640608031316567</v>
      </c>
      <c r="M17" s="217" t="str">
        <f>_xlfn.TEXTJOIN(", ", ,L16,N16)</f>
        <v>1, edge</v>
      </c>
      <c r="N17" s="217"/>
      <c r="O17" s="217"/>
      <c r="P17" s="217"/>
      <c r="Q17" s="217"/>
      <c r="R17" s="217"/>
      <c r="S17" s="217"/>
      <c r="T17" s="217"/>
      <c r="U17" s="192">
        <f t="shared" si="116"/>
        <v>37.51472141652637</v>
      </c>
      <c r="V17" s="218" t="s">
        <v>87</v>
      </c>
      <c r="W17" s="218" t="str">
        <f>IF(W16&gt;0.525,"EVEN",IF(V16&gt;0.53,"ODD","RUN"))</f>
        <v>RUN</v>
      </c>
      <c r="X17" s="217"/>
      <c r="Y17" s="219"/>
      <c r="Z17">
        <f>IF(Z10&lt;0,Z10)+IF(Z11&lt;0,Z11)+IF(Z12&lt;0,Z12)+IF(Z13&lt;0,Z13)+IF(Z14&lt;0,Z14)</f>
        <v>-73.50182041753439</v>
      </c>
      <c r="AC17" t="str">
        <f>IF(OR(AB19&gt;AC18,AB19=AC18),"yes","no")</f>
        <v>yes</v>
      </c>
      <c r="AD17" s="201">
        <v>1.0</v>
      </c>
      <c r="AE17" s="202">
        <f t="shared" si="41"/>
        <v>5.0</v>
      </c>
      <c r="AF17" s="203">
        <v>4.0</v>
      </c>
      <c r="AG17" s="192">
        <f t="shared" si="42"/>
        <v>2.7612785565692928</v>
      </c>
      <c r="AH17" s="204">
        <f t="shared" si="43"/>
        <v>13.0</v>
      </c>
      <c r="AI17">
        <f t="shared" si="119"/>
        <v>3.0</v>
      </c>
      <c r="AJ17" t="str">
        <f>IF(AJ16="firm, firm","All1",IF(AJ16="firm, in line",1,IF(AJ16="in line, firm",1,IF(AJ16="in line, in line","All",IF(AJ16="in line, check","1st half",IF(AJ16="check, in line","2nd half","out"))))))</f>
        <v>out</v>
      </c>
      <c r="AK17" s="216">
        <f>AVERAGE(AK15,AL16,AM15)</f>
        <v>0.6104954874543468</v>
      </c>
      <c r="AL17" s="217" t="str">
        <f>_xlfn.TEXTJOIN(", ", ,AK16,AM16)</f>
        <v>2, edge</v>
      </c>
      <c r="AM17" s="217"/>
      <c r="AN17" s="217"/>
      <c r="AO17" s="217"/>
      <c r="AP17" s="217"/>
      <c r="AQ17" s="217"/>
      <c r="AR17" s="217"/>
      <c r="AS17" s="217"/>
      <c r="AT17" s="192">
        <f t="shared" si="117"/>
        <v>22.20381406304606</v>
      </c>
      <c r="AU17" s="218" t="s">
        <v>87</v>
      </c>
      <c r="AV17" s="218" t="str">
        <f>IF(AV16&gt;0.525,"EVEN",IF(AU16&gt;0.53,"ODD","RUN"))</f>
        <v>RUN</v>
      </c>
      <c r="AW17" s="217"/>
      <c r="AX17" s="219"/>
      <c r="AY17">
        <f>IF(AY10&lt;0,AY10)+IF(AY11&lt;0,AY11)+IF(AY12&lt;0,AY12)+IF(AY13&lt;0,AY13)+IF(AY14&lt;0,AY14)</f>
        <v>-4.4076281260922</v>
      </c>
      <c r="BB17" t="str">
        <f>IF(OR(BA19&gt;BB18,BA19=BB18),"yes","no")</f>
        <v>yes</v>
      </c>
      <c r="BC17" s="201">
        <v>1.0</v>
      </c>
      <c r="BD17" s="202" t="s">
        <v>81</v>
      </c>
      <c r="BE17" s="203">
        <v>4.0</v>
      </c>
      <c r="BF17" s="192">
        <f t="shared" si="45"/>
        <v>2.7612785565692928</v>
      </c>
      <c r="BG17" s="204">
        <f t="shared" si="46"/>
        <v>13.0</v>
      </c>
      <c r="BH17">
        <f t="shared" si="120"/>
        <v>3.0</v>
      </c>
      <c r="BI17" t="str">
        <f>IF(BI16="firm, firm","All1",IF(BI16="firm, in line",1,IF(BI16="in line, firm",1,IF(BI16="in line, in line","All",IF(BI16="in line, check","1st half",IF(BI16="check, in line","2nd half","out"))))))</f>
        <v>out</v>
      </c>
      <c r="BJ17" s="216">
        <f>AVERAGE(BJ15,BK16,BL15)</f>
        <v>0.6104954874543468</v>
      </c>
      <c r="BK17" s="217" t="str">
        <f>_xlfn.TEXTJOIN(", ", ,BJ16,BL16)</f>
        <v>2, edge</v>
      </c>
      <c r="BL17" s="217"/>
      <c r="BM17" s="217"/>
      <c r="BN17" s="217"/>
      <c r="BO17" s="217"/>
      <c r="BP17" s="217"/>
      <c r="BQ17" s="217"/>
      <c r="BR17" s="217"/>
      <c r="BS17" s="217"/>
      <c r="BT17" s="218" t="s">
        <v>87</v>
      </c>
      <c r="BU17" s="218" t="str">
        <f>IF(BU16&gt;0.525,"EVEN",IF(BT16&gt;0.53,"ODD","RUN"))</f>
        <v>RUN</v>
      </c>
      <c r="BV17" s="217"/>
      <c r="BW17" s="219"/>
      <c r="CA17" t="str">
        <f>IF(OR(BZ19&gt;CA18,BZ19=CA18),"yes","no")</f>
        <v>no</v>
      </c>
      <c r="CB17" s="201">
        <v>1.0</v>
      </c>
      <c r="CC17" s="202" t="s">
        <v>81</v>
      </c>
      <c r="CD17" s="203">
        <v>4.0</v>
      </c>
      <c r="CE17" s="192">
        <f t="shared" si="48"/>
        <v>0.27334877945567077</v>
      </c>
      <c r="CF17" s="204">
        <f t="shared" si="49"/>
        <v>20.0</v>
      </c>
      <c r="CG17">
        <f t="shared" si="121"/>
        <v>1.0</v>
      </c>
      <c r="CH17" t="str">
        <f>IF(CH16="firm, firm","All1",IF(CH16="firm, in line",1,IF(CH16="in line, firm",1,IF(CH16="in line, in line","All",IF(CH16="in line, check","1st half",IF(CH16="check, in line","2nd half","out"))))))</f>
        <v>out</v>
      </c>
      <c r="CI17" s="216">
        <f>AVERAGE(CI15,CJ16,CK15)</f>
        <v>0.6640608031316567</v>
      </c>
      <c r="CJ17" s="217" t="str">
        <f>_xlfn.TEXTJOIN(", ", ,CI16,CK16)</f>
        <v>1, edge</v>
      </c>
      <c r="CK17" s="217"/>
      <c r="CL17" s="217"/>
      <c r="CM17" s="217"/>
      <c r="CN17" s="217"/>
      <c r="CO17" s="217"/>
      <c r="CP17" s="217"/>
      <c r="CQ17" s="217"/>
      <c r="CR17" s="217"/>
      <c r="CS17" s="218" t="s">
        <v>87</v>
      </c>
      <c r="CT17" s="218" t="str">
        <f>IF(CT16&gt;0.525,"EVEN",IF(CS16&gt;0.53,"ODD","RUN"))</f>
        <v>RUN</v>
      </c>
      <c r="CU17" s="217"/>
      <c r="CV17" s="219"/>
      <c r="CZ17" t="str">
        <f>IF(OR(CY19&gt;CZ18,CY19=CZ18),"yes","no")</f>
        <v>yes</v>
      </c>
      <c r="DA17" s="201">
        <v>1.0</v>
      </c>
      <c r="DB17" s="202" t="s">
        <v>81</v>
      </c>
      <c r="DC17" s="203">
        <v>4.0</v>
      </c>
      <c r="DD17" s="192" t="e">
        <f t="shared" si="51"/>
        <v>#N/A</v>
      </c>
      <c r="DE17" s="204" t="e">
        <f t="shared" si="52"/>
        <v>#N/A</v>
      </c>
      <c r="DF17" t="e">
        <f t="shared" si="122"/>
        <v>#N/A</v>
      </c>
      <c r="DG17" t="str">
        <f>IF(DG16="firm, firm","All1",IF(DG16="firm, in line",1,IF(DG16="in line, firm",1,IF(DG16="in line, in line","All",IF(DG16="in line, check","1st half",IF(DG16="check, in line","2nd half","out"))))))</f>
        <v>out</v>
      </c>
      <c r="DH17" s="216" t="e">
        <f>AVERAGE(DH15,DI16,DJ15)</f>
        <v>#N/A</v>
      </c>
      <c r="DI17" s="217" t="e">
        <f>_xlfn.TEXTJOIN(", ", ,DH16,DJ16)</f>
        <v>#N/A</v>
      </c>
      <c r="DJ17" s="217"/>
      <c r="DK17" s="217"/>
      <c r="DL17" s="217"/>
      <c r="DM17" s="217"/>
      <c r="DN17" s="217"/>
      <c r="DO17" s="217"/>
      <c r="DP17" s="217"/>
      <c r="DQ17" s="217"/>
      <c r="DR17" s="218" t="s">
        <v>87</v>
      </c>
      <c r="DS17" s="218" t="e">
        <f>IF(DS16&gt;0.525,"EVEN",IF(DR16&gt;0.53,"ODD","RUN"))</f>
        <v>#N/A</v>
      </c>
      <c r="DT17" s="217"/>
      <c r="DU17" s="219"/>
    </row>
    <row r="18" spans="8:8" ht="15.0">
      <c r="C18" t="e">
        <f>Sheet1!W59</f>
        <v>#N/A</v>
      </c>
      <c r="D18" t="e">
        <f>Sheet1!V59</f>
        <v>#N/A</v>
      </c>
      <c r="E18" s="201">
        <v>2.0</v>
      </c>
      <c r="F18" s="202" t="s">
        <v>81</v>
      </c>
      <c r="G18" s="203">
        <v>4.0</v>
      </c>
      <c r="H18" s="192">
        <f t="shared" si="38"/>
        <v>0.18063019239527076</v>
      </c>
      <c r="I18" s="204">
        <f t="shared" si="39"/>
        <v>22.0</v>
      </c>
      <c r="J18">
        <f t="shared" si="118"/>
        <v>3.0</v>
      </c>
      <c r="L18" t="s">
        <v>95</v>
      </c>
      <c r="M18" t="s">
        <v>8</v>
      </c>
      <c r="V18">
        <f>AVERAGE(W18,X18)</f>
        <v>0.49869706823249477</v>
      </c>
      <c r="W18">
        <f t="shared" si="123" ref="W18:X18">AVERAGE(W6:W10)</f>
        <v>0.5810695748920587</v>
      </c>
      <c r="X18">
        <f t="shared" si="123"/>
        <v>0.41632456157293085</v>
      </c>
      <c r="Y18">
        <f>SUM(W18,X18)</f>
        <v>0.9973941364649895</v>
      </c>
      <c r="Z18">
        <f>COUNTIF(AA10:AA14,1)</f>
        <v>3.0</v>
      </c>
      <c r="AA18">
        <f>Z18+AY18</f>
        <v>4.0</v>
      </c>
      <c r="AB18" t="str">
        <f>IF(AND(AA18&gt;4,Sheet1!X83&lt;7),"yes","no")</f>
        <v>no</v>
      </c>
      <c r="AC18">
        <f>MAX(AB20:AB22)</f>
        <v>2.0</v>
      </c>
      <c r="AD18" s="201">
        <v>2.0</v>
      </c>
      <c r="AE18" s="202">
        <f t="shared" si="41"/>
        <v>6.0</v>
      </c>
      <c r="AF18" s="203">
        <v>4.0</v>
      </c>
      <c r="AG18" s="192">
        <f t="shared" si="42"/>
        <v>3.1053559916503666</v>
      </c>
      <c r="AH18" s="204">
        <f t="shared" si="43"/>
        <v>10.0</v>
      </c>
      <c r="AI18">
        <f t="shared" si="119"/>
        <v>1.0</v>
      </c>
      <c r="AK18" t="s">
        <v>96</v>
      </c>
      <c r="AL18" t="s">
        <v>95</v>
      </c>
      <c r="AU18">
        <f>AVERAGE(AV18,AW18)</f>
        <v>0.47191441039384013</v>
      </c>
      <c r="AV18">
        <f t="shared" si="124" ref="AV18:AW18">AVERAGE(AV6:AV10)</f>
        <v>0.21947018878528982</v>
      </c>
      <c r="AW18">
        <f t="shared" si="124"/>
        <v>0.7243586320023905</v>
      </c>
      <c r="AX18">
        <f>SUM(AV18,AW18)</f>
        <v>0.9438288207876803</v>
      </c>
      <c r="AY18">
        <f>COUNTIF(AZ10:AZ14,1)</f>
        <v>1.0</v>
      </c>
      <c r="BB18">
        <f>MAX(BA20:BA22)</f>
        <v>2.0</v>
      </c>
      <c r="BC18" s="201">
        <v>2.0</v>
      </c>
      <c r="BD18" s="202" t="s">
        <v>81</v>
      </c>
      <c r="BE18" s="203">
        <v>4.0</v>
      </c>
      <c r="BF18" s="192">
        <f t="shared" si="45"/>
        <v>3.1053559916503666</v>
      </c>
      <c r="BG18" s="204">
        <f t="shared" si="46"/>
        <v>10.0</v>
      </c>
      <c r="BH18">
        <f t="shared" si="120"/>
        <v>1.0</v>
      </c>
      <c r="BT18">
        <f>AVERAGE(BU18,BV18)</f>
        <v>0.47191441039384013</v>
      </c>
      <c r="BU18">
        <f t="shared" si="125" ref="BU18:BV18">AVERAGE(BU6:BU10)</f>
        <v>0.21947018878528982</v>
      </c>
      <c r="BV18">
        <f t="shared" si="125"/>
        <v>0.7243586320023905</v>
      </c>
      <c r="BW18">
        <f>SUM(BU18,BV18)</f>
        <v>0.9438288207876803</v>
      </c>
      <c r="CA18">
        <f>MAX(BZ20:BZ22)</f>
        <v>3.0</v>
      </c>
      <c r="CB18" s="201">
        <v>2.0</v>
      </c>
      <c r="CC18" s="202" t="s">
        <v>81</v>
      </c>
      <c r="CD18" s="203">
        <v>4.0</v>
      </c>
      <c r="CE18" s="192">
        <f t="shared" si="48"/>
        <v>0.18063019239527076</v>
      </c>
      <c r="CF18" s="204">
        <f t="shared" si="49"/>
        <v>22.0</v>
      </c>
      <c r="CG18">
        <f t="shared" si="121"/>
        <v>3.0</v>
      </c>
      <c r="CS18">
        <f>AVERAGE(CT18,CU18)</f>
        <v>0.49869706823249477</v>
      </c>
      <c r="CT18">
        <f t="shared" si="126" ref="CT18:CU18">AVERAGE(CT6:CT10)</f>
        <v>0.5810695748920587</v>
      </c>
      <c r="CU18">
        <f t="shared" si="126"/>
        <v>0.41632456157293085</v>
      </c>
      <c r="CV18">
        <f>SUM(CT18,CU18)</f>
        <v>0.9973941364649895</v>
      </c>
      <c r="CZ18">
        <f>MAX(CY20:CY22)</f>
        <v>0.0</v>
      </c>
      <c r="DA18" s="201">
        <v>2.0</v>
      </c>
      <c r="DB18" s="202" t="s">
        <v>81</v>
      </c>
      <c r="DC18" s="203">
        <v>4.0</v>
      </c>
      <c r="DD18" s="192" t="e">
        <f t="shared" si="51"/>
        <v>#N/A</v>
      </c>
      <c r="DE18" s="204" t="e">
        <f t="shared" si="52"/>
        <v>#N/A</v>
      </c>
      <c r="DF18" t="e">
        <f t="shared" si="122"/>
        <v>#N/A</v>
      </c>
      <c r="DR18" t="e">
        <f>AVERAGE(DS18,DT18)</f>
        <v>#N/A</v>
      </c>
      <c r="DS18" t="e">
        <f t="shared" si="127" ref="DS18:DT18">AVERAGE(DS6:DS10)</f>
        <v>#N/A</v>
      </c>
      <c r="DT18" t="e">
        <f t="shared" si="127"/>
        <v>#N/A</v>
      </c>
      <c r="DU18" t="e">
        <f>SUM(DS18,DT18)</f>
        <v>#N/A</v>
      </c>
    </row>
    <row r="19" spans="8:8" ht="15.0">
      <c r="C19">
        <f>COUNTIF(D19:D28,"rountime")</f>
        <v>1.0</v>
      </c>
      <c r="D19" t="str">
        <f>IF(I5=1,"draw",IF(I6=1,"away",IF(I7=1,"draw",IF(I8=1,"home",IF(I9=1,"away",IF(I10=1,"away",IF(I11=1,"home",IF(I12=1,"away",IF(I13=1,"draw",IF(I14=1,"home","rountime"))))))))))</f>
        <v>home</v>
      </c>
      <c r="E19" s="201">
        <v>3.0</v>
      </c>
      <c r="F19" s="202" t="s">
        <v>81</v>
      </c>
      <c r="G19" s="203">
        <v>3.0</v>
      </c>
      <c r="H19" s="192">
        <f t="shared" si="38"/>
        <v>0.39647900204934083</v>
      </c>
      <c r="I19" s="204">
        <f t="shared" si="39"/>
        <v>19.0</v>
      </c>
      <c r="J19">
        <f>SUM(J15:J18)</f>
        <v>8.0</v>
      </c>
      <c r="L19">
        <f t="shared" si="128" ref="L19:L23">N7</f>
        <v>0.15793559395333565</v>
      </c>
      <c r="M19">
        <f>O6</f>
        <v>0.09593761275089209</v>
      </c>
      <c r="P19" t="s">
        <v>97</v>
      </c>
      <c r="Q19">
        <f>S15/(S15+S53)*100</f>
        <v>89.83772852911028</v>
      </c>
      <c r="S19" t="str">
        <f>IF(AND(Q22&gt;32.9,Q25&gt;21.9,Q19&gt;60),"home wind or draw",IF(AND(Q22&gt;32.9,Q25&gt;21.9,Q21&gt;60),"Away win or draw","next predict"))</f>
        <v>next predict</v>
      </c>
      <c r="U19">
        <f>MAX(W19:X23)</f>
        <v>0.4367270110665295</v>
      </c>
      <c r="V19">
        <f>ABS(W18-X18)</f>
        <v>0.16474501331912783</v>
      </c>
      <c r="W19">
        <f t="shared" si="129" ref="W19:X19">ABS(W6-$V$18)</f>
        <v>0.3791946161028999</v>
      </c>
      <c r="X19">
        <f t="shared" si="129"/>
        <v>0.3791946161028999</v>
      </c>
      <c r="Y19">
        <f t="shared" si="130" ref="Y19:Y23">X19/(X19+$V$19)*100</f>
        <v>69.71262904778965</v>
      </c>
      <c r="Z19">
        <f t="shared" si="131" ref="Z19:Z23">ABS(Y19-$Y$24)</f>
        <v>9.856409706052972</v>
      </c>
      <c r="AB19">
        <f>COUNTIF(AC19:AC28,"rountime")</f>
        <v>4.0</v>
      </c>
      <c r="AC19" t="str">
        <f>IF(AH5=1,"draw",IF(AH6=1,"away",IF(AH7=1,"draw",IF(AH8=1,"home",IF(AH9=1,"away",IF(AH10=1,"away",IF(AH11=1,"home",IF(AH12=1,"away",IF(AH13=1,"draw",IF(AH14=1,"home","rountime"))))))))))</f>
        <v>draw</v>
      </c>
      <c r="AD19" s="201">
        <v>3.0</v>
      </c>
      <c r="AE19" s="202">
        <f t="shared" si="41"/>
        <v>6.0</v>
      </c>
      <c r="AF19" s="203">
        <v>3.0</v>
      </c>
      <c r="AG19" s="192">
        <f t="shared" si="42"/>
        <v>4.059587021575508</v>
      </c>
      <c r="AH19" s="204">
        <f t="shared" si="43"/>
        <v>9.0</v>
      </c>
      <c r="AI19">
        <f>SUM(AI15:AI18)</f>
        <v>7.0</v>
      </c>
      <c r="AK19">
        <f t="shared" si="132" ref="AK19:AK23">AM7</f>
        <v>0.0239289522852217</v>
      </c>
      <c r="AL19">
        <f>AN6</f>
        <v>0.024405738796550586</v>
      </c>
      <c r="AO19" t="s">
        <v>97</v>
      </c>
      <c r="AP19">
        <f>AR15/(AR15+AR53)*100</f>
        <v>5.326248759504067</v>
      </c>
      <c r="AR19" t="str">
        <f>IF(AND(AP22&gt;32.9,AP25&gt;21.9,AP19&gt;60),"home wind or draw",IF(AND(AP22&gt;32.9,AP25&gt;21.9,AP21&gt;60),"Away win or draw","next predict"))</f>
        <v>next predict</v>
      </c>
      <c r="AT19">
        <f>MAX(AV19:AW23)</f>
        <v>0.46127561358535624</v>
      </c>
      <c r="AU19">
        <f>ABS(AV18-AW18)</f>
        <v>0.5048884432171007</v>
      </c>
      <c r="AV19">
        <f t="shared" si="133" ref="AV19:AW19">ABS(AV6-$AU$18)</f>
        <v>0.46127561358535624</v>
      </c>
      <c r="AW19">
        <f t="shared" si="133"/>
        <v>0.46127561358535624</v>
      </c>
      <c r="AX19">
        <f t="shared" si="134" ref="AX19:AX23">AW19/(AW19+$AU$19)*100</f>
        <v>47.742990472235</v>
      </c>
      <c r="AY19">
        <f t="shared" si="135" ref="AY19:AY23">ABS(AX19-$AX$24)</f>
        <v>15.560121266587586</v>
      </c>
      <c r="BA19">
        <f>COUNTIF(BB19:BB28,"rountime")</f>
        <v>4.0</v>
      </c>
      <c r="BB19" t="str">
        <f>IF(BG5=1,"draw",IF(BG6=1,"away",IF(BG7=1,"draw",IF(BG8=1,"home",IF(BG9=1,"away",IF(BG10=1,"away",IF(BG11=1,"home",IF(BG12=1,"away",IF(BG13=1,"draw",IF(BG14=1,"home","rountime"))))))))))</f>
        <v>draw</v>
      </c>
      <c r="BC19" s="201">
        <v>3.0</v>
      </c>
      <c r="BD19" s="202" t="s">
        <v>81</v>
      </c>
      <c r="BE19" s="203">
        <v>3.0</v>
      </c>
      <c r="BF19" s="192">
        <f t="shared" si="45"/>
        <v>4.059587021575508</v>
      </c>
      <c r="BG19" s="204">
        <f t="shared" si="46"/>
        <v>9.0</v>
      </c>
      <c r="BH19">
        <f>SUM(BH15:BH18)</f>
        <v>7.0</v>
      </c>
      <c r="BJ19">
        <f t="shared" si="136" ref="BJ19:BJ23">BL7</f>
        <v>0.0239289522852217</v>
      </c>
      <c r="BK19">
        <f>BM6</f>
        <v>0.024405738796550586</v>
      </c>
      <c r="BN19" t="s">
        <v>97</v>
      </c>
      <c r="BO19">
        <f>BQ15/(BQ15+BQ53)*100</f>
        <v>5.326248759504067</v>
      </c>
      <c r="BQ19" t="str">
        <f>IF(AND(BO22&gt;32.9,BO25&gt;21.9,BO19&gt;60),"home wind or draw",IF(AND(BO22&gt;32.9,BO25&gt;21.9,BO21&gt;60),"Away win or draw","next predict"))</f>
        <v>next predict</v>
      </c>
      <c r="BS19">
        <f>MAX(BU19:BV23)</f>
        <v>0.46127561358535624</v>
      </c>
      <c r="BT19">
        <f>ABS(BU18-BV18)</f>
        <v>0.5048884432171007</v>
      </c>
      <c r="BU19">
        <f t="shared" si="137" ref="BU19:BV19">ABS(BU6-$BT$18)</f>
        <v>0.46127561358535624</v>
      </c>
      <c r="BV19">
        <f t="shared" si="137"/>
        <v>0.46127561358535624</v>
      </c>
      <c r="BW19">
        <f t="shared" si="138" ref="BW19:BW23">BV19/(BV19+$BT$19)*100</f>
        <v>47.742990472235</v>
      </c>
      <c r="BX19">
        <f t="shared" si="139" ref="BX19:BX23">ABS(BW19-$BW$24)</f>
        <v>15.560121266587586</v>
      </c>
      <c r="BZ19">
        <f>COUNTIF(CA19:CA28,"rountime")</f>
        <v>1.0</v>
      </c>
      <c r="CA19" t="str">
        <f>IF(CF5=1,"draw",IF(CF6=1,"away",IF(CF7=1,"draw",IF(CF8=1,"home",IF(CF9=1,"away",IF(CF10=1,"away",IF(CF11=1,"home",IF(CF12=1,"away",IF(CF13=1,"draw",IF(CF14=1,"home","rountime"))))))))))</f>
        <v>home</v>
      </c>
      <c r="CB19" s="201">
        <v>3.0</v>
      </c>
      <c r="CC19" s="202" t="s">
        <v>81</v>
      </c>
      <c r="CD19" s="203">
        <v>3.0</v>
      </c>
      <c r="CE19" s="192">
        <f t="shared" si="48"/>
        <v>0.39647900204934083</v>
      </c>
      <c r="CF19" s="204">
        <f t="shared" si="49"/>
        <v>19.0</v>
      </c>
      <c r="CG19">
        <f>SUM(CG15:CG18)</f>
        <v>8.0</v>
      </c>
      <c r="CM19" t="s">
        <v>97</v>
      </c>
      <c r="CN19">
        <f>CP15/(CP15+CP53)*100</f>
        <v>89.83772852911028</v>
      </c>
      <c r="CP19" t="str">
        <f>IF(AND(CN22&gt;32.9,CN25&gt;21.9,CN19&gt;60),"home wind or draw",IF(AND(CN22&gt;32.9,CN25&gt;21.9,CN21&gt;60),"Away win or draw","next predict"))</f>
        <v>next predict</v>
      </c>
      <c r="CR19">
        <f>MAX(CT19:CU23)</f>
        <v>0.4367270110665295</v>
      </c>
      <c r="CS19">
        <f>ABS(CT18-CU18)</f>
        <v>0.16474501331912783</v>
      </c>
      <c r="CT19">
        <f t="shared" si="140" ref="CT19:CU19">ABS(CT6-$CS$18)</f>
        <v>0.3791946161028999</v>
      </c>
      <c r="CU19">
        <f t="shared" si="140"/>
        <v>0.3791946161028999</v>
      </c>
      <c r="CV19">
        <f t="shared" si="141" ref="CV19:CV23">CU19/(CU19+$CS$19)*100</f>
        <v>69.71262904778965</v>
      </c>
      <c r="CW19">
        <f t="shared" si="142" ref="CW19:CW23">ABS(CV19-$CV$24)</f>
        <v>9.856409706052972</v>
      </c>
      <c r="CY19">
        <f>COUNTIF(CZ19:CZ28,"rountime")</f>
        <v>0.0</v>
      </c>
      <c r="CZ19" t="e">
        <f>IF(DE5=1,"draw",IF(DE6=1,"away",IF(DE7=1,"draw",IF(DE8=1,"home",IF(DE9=1,"away",IF(DE10=1,"away",IF(DE11=1,"home",IF(DE12=1,"away",IF(DE13=1,"draw",IF(DE14=1,"home","rountime"))))))))))</f>
        <v>#N/A</v>
      </c>
      <c r="DA19" s="201">
        <v>3.0</v>
      </c>
      <c r="DB19" s="202" t="s">
        <v>81</v>
      </c>
      <c r="DC19" s="203">
        <v>3.0</v>
      </c>
      <c r="DD19" s="192" t="e">
        <f t="shared" si="51"/>
        <v>#N/A</v>
      </c>
      <c r="DE19" s="204" t="e">
        <f t="shared" si="52"/>
        <v>#N/A</v>
      </c>
      <c r="DF19" t="e">
        <f>SUM(DF15:DF18)</f>
        <v>#N/A</v>
      </c>
      <c r="DL19" t="s">
        <v>97</v>
      </c>
      <c r="DM19" t="e">
        <f>DO15/(DO15+DO53)*100</f>
        <v>#N/A</v>
      </c>
      <c r="DO19" t="e">
        <f>IF(AND(DM22&gt;32.9,DM25&gt;21.9,DM19&gt;60),"home wind or draw",IF(AND(DM22&gt;32.9,DM25&gt;21.9,DM21&gt;60),"Away win or draw","next predict"))</f>
        <v>#N/A</v>
      </c>
      <c r="DQ19" t="e">
        <f>MAX(DS19:DT23)</f>
        <v>#N/A</v>
      </c>
      <c r="DR19" t="e">
        <f>ABS(DS18-DT18)</f>
        <v>#N/A</v>
      </c>
      <c r="DS19" t="e">
        <f t="shared" si="143" ref="DS19:DT19">ABS(DS6-$DR$18)</f>
        <v>#N/A</v>
      </c>
      <c r="DT19" t="e">
        <f t="shared" si="143"/>
        <v>#N/A</v>
      </c>
      <c r="DU19" t="e">
        <f t="shared" si="144" ref="DU19:DU23">DT19/(DT19+$DR$19)*100</f>
        <v>#N/A</v>
      </c>
      <c r="DV19" t="e">
        <f>ABS(DU19-$CV$24)</f>
        <v>#N/A</v>
      </c>
    </row>
    <row r="20" spans="8:8" ht="15.0">
      <c r="B20">
        <f>AVERAGE(C20:C22,B58:C60)</f>
        <v>2.5</v>
      </c>
      <c r="C20">
        <f>COUNTIF(D19:D28,"home")</f>
        <v>3.0</v>
      </c>
      <c r="D20" t="str">
        <f>IF(I5=2,"draw",IF(I6=2,"away",IF(I7=2,"draw",IF(I8=2,"home",IF(I9=2,"away",IF(I10=2,"away",IF(I11=2,"home",IF(I12=2,"away",IF(I13=2,"draw",IF(I14=2,"home","rountime"))))))))))</f>
        <v>draw</v>
      </c>
      <c r="E20" s="201">
        <v>4.0</v>
      </c>
      <c r="F20" s="202" t="s">
        <v>81</v>
      </c>
      <c r="G20" s="203">
        <v>1.0</v>
      </c>
      <c r="H20" s="192">
        <f t="shared" si="38"/>
        <v>1.2195243336380468</v>
      </c>
      <c r="I20" s="204">
        <f t="shared" si="39"/>
        <v>14.0</v>
      </c>
      <c r="J20" t="str">
        <f>IF(J5&gt;J43,"yes",IF(J5=J43,"equal","no"))</f>
        <v>yes</v>
      </c>
      <c r="L20">
        <f t="shared" si="128"/>
        <v>0.10436460253695327</v>
      </c>
      <c r="M20">
        <f t="shared" si="145" ref="M20:M21">P6</f>
        <v>0.038509776897125064</v>
      </c>
      <c r="P20" t="s">
        <v>98</v>
      </c>
      <c r="Q20">
        <f>IF(S15&lt;S53,S15/(S15+S53)*100,S53/(S53+S15)*100)</f>
        <v>10.162271470889726</v>
      </c>
      <c r="U20">
        <f>W21</f>
        <v>0.1443450448611649</v>
      </c>
      <c r="V20">
        <f>MIN(W19:X23)</f>
        <v>0.12532140939867215</v>
      </c>
      <c r="W20">
        <f t="shared" si="146" ref="W20:X20">ABS(W7-$V$18)</f>
        <v>0.12532140939867215</v>
      </c>
      <c r="X20">
        <f t="shared" si="146"/>
        <v>0.12532140939867215</v>
      </c>
      <c r="Y20">
        <f t="shared" si="130"/>
        <v>43.20438340448489</v>
      </c>
      <c r="Z20">
        <f t="shared" si="131"/>
        <v>16.65183593725179</v>
      </c>
      <c r="AA20">
        <f>AVERAGE(AB20:AB22,AA58:AB60)</f>
        <v>2.5</v>
      </c>
      <c r="AB20">
        <f>COUNTIF(AC19:AC28,"home")</f>
        <v>2.0</v>
      </c>
      <c r="AC20" t="str">
        <f>IF(AH5=2,"draw",IF(AH6=2,"away",IF(AH7=2,"draw",IF(AH8=2,"home",IF(AH9=2,"away",IF(AH10=2,"away",IF(AH11=2,"home",IF(AH12=2,"away",IF(AH13=2,"draw",IF(AH14=2,"home","rountime"))))))))))</f>
        <v>away</v>
      </c>
      <c r="AD20" s="201">
        <v>4.0</v>
      </c>
      <c r="AE20" s="202">
        <f t="shared" si="41"/>
        <v>5.0</v>
      </c>
      <c r="AF20" s="203">
        <v>1.0</v>
      </c>
      <c r="AG20" s="192">
        <f t="shared" si="42"/>
        <v>2.602587830283055</v>
      </c>
      <c r="AH20" s="204">
        <f t="shared" si="43"/>
        <v>14.0</v>
      </c>
      <c r="AI20" t="str">
        <f>IF(AI5&gt;AI43,"yes",IF(AI5=AI43,"equal","no"))</f>
        <v>no</v>
      </c>
      <c r="AK20">
        <f t="shared" si="132"/>
        <v>0.026910691489652402</v>
      </c>
      <c r="AL20">
        <f t="shared" si="147" ref="AL20:AL21">AO6</f>
        <v>0.027993771143860095</v>
      </c>
      <c r="AO20" t="s">
        <v>98</v>
      </c>
      <c r="AP20">
        <f>IF(AR15&lt;AR53,AR15/(AR15+AR53)*100,AR53/(AR53+AR15)*100)</f>
        <v>5.326248759504067</v>
      </c>
      <c r="AT20">
        <f>AV21</f>
        <v>0.3031426810282263</v>
      </c>
      <c r="AU20">
        <f>MIN(AV19:AW23)</f>
        <v>0.052000580709001654</v>
      </c>
      <c r="AV20">
        <f t="shared" si="148" ref="AV20:AW20">ABS(AV7-$AU$18)</f>
        <v>0.41294092250358394</v>
      </c>
      <c r="AW20">
        <f t="shared" si="148"/>
        <v>0.412940922503584</v>
      </c>
      <c r="AX20">
        <f t="shared" si="134"/>
        <v>44.99103405558837</v>
      </c>
      <c r="AY20">
        <f t="shared" si="135"/>
        <v>12.808164849940958</v>
      </c>
      <c r="AZ20">
        <f>AVERAGE(BA20:BA22,AZ58:BA60)</f>
        <v>2.5</v>
      </c>
      <c r="BA20">
        <f>COUNTIF(BB19:BB28,"home")</f>
        <v>2.0</v>
      </c>
      <c r="BB20" t="str">
        <f>IF(BG5=2,"draw",IF(BG6=2,"away",IF(BG7=2,"draw",IF(BG8=2,"home",IF(BG9=2,"away",IF(BG10=2,"away",IF(BG11=2,"home",IF(BG12=2,"away",IF(BG13=2,"draw",IF(BG14=2,"home","rountime"))))))))))</f>
        <v>away</v>
      </c>
      <c r="BC20" s="201">
        <v>4.0</v>
      </c>
      <c r="BD20" s="202" t="s">
        <v>81</v>
      </c>
      <c r="BE20" s="203">
        <v>1.0</v>
      </c>
      <c r="BF20" s="192">
        <f t="shared" si="45"/>
        <v>2.602587830283055</v>
      </c>
      <c r="BG20" s="204">
        <f t="shared" si="46"/>
        <v>14.0</v>
      </c>
      <c r="BH20" t="str">
        <f>IF(BH5&gt;BH43,"yes",IF(BH5=BH43,"equal","no"))</f>
        <v>no</v>
      </c>
      <c r="BJ20">
        <f t="shared" si="136"/>
        <v>0.026910691489652402</v>
      </c>
      <c r="BK20">
        <f t="shared" si="149" ref="BK20:BK21">BN6</f>
        <v>0.027993771143860095</v>
      </c>
      <c r="BN20" t="s">
        <v>98</v>
      </c>
      <c r="BO20">
        <f>IF(BQ15&lt;BQ53,BQ15/(BQ15+BQ53)*100,BQ53/(BQ53+BQ15)*100)</f>
        <v>5.326248759504067</v>
      </c>
      <c r="BS20">
        <f>BU21</f>
        <v>0.3031426810282263</v>
      </c>
      <c r="BT20">
        <f>MIN(BU19:BV23)</f>
        <v>0.052000580709001654</v>
      </c>
      <c r="BU20">
        <f t="shared" si="150" ref="BU20:BV20">ABS(BU7-$BT$18)</f>
        <v>0.41294092250358394</v>
      </c>
      <c r="BV20">
        <f t="shared" si="150"/>
        <v>0.412940922503584</v>
      </c>
      <c r="BW20">
        <f t="shared" si="138"/>
        <v>44.99103405558837</v>
      </c>
      <c r="BX20">
        <f t="shared" si="139"/>
        <v>12.808164849940958</v>
      </c>
      <c r="BZ20">
        <f>COUNTIF(CA19:CA28,"home")</f>
        <v>3.0</v>
      </c>
      <c r="CA20" t="str">
        <f>IF(CF5=2,"draw",IF(CF6=2,"away",IF(CF7=2,"draw",IF(CF8=2,"home",IF(CF9=2,"away",IF(CF10=2,"away",IF(CF11=2,"home",IF(CF12=2,"away",IF(CF13=2,"draw",IF(CF14=2,"home","rountime"))))))))))</f>
        <v>draw</v>
      </c>
      <c r="CB20" s="201">
        <v>4.0</v>
      </c>
      <c r="CC20" s="202" t="s">
        <v>81</v>
      </c>
      <c r="CD20" s="203">
        <v>1.0</v>
      </c>
      <c r="CE20" s="192">
        <f t="shared" si="48"/>
        <v>1.2195243336380468</v>
      </c>
      <c r="CF20" s="204">
        <f t="shared" si="49"/>
        <v>14.0</v>
      </c>
      <c r="CG20" t="str">
        <f>IF(CG5&gt;CG43,"yes",IF(CG5=CG43,"equal","no"))</f>
        <v>yes</v>
      </c>
      <c r="CM20" t="s">
        <v>98</v>
      </c>
      <c r="CN20">
        <f>IF(CP15&lt;CP53,CP15/(CP15+CP53)*100,CP53/(CP53+CP15)*100)</f>
        <v>10.162271470889726</v>
      </c>
      <c r="CR20">
        <f>CT21</f>
        <v>0.1443450448611649</v>
      </c>
      <c r="CS20">
        <f>MIN(CT19:CU23)</f>
        <v>0.12532140939867215</v>
      </c>
      <c r="CT20">
        <f t="shared" si="151" ref="CT20:CU20">ABS(CT7-$CS$18)</f>
        <v>0.12532140939867215</v>
      </c>
      <c r="CU20">
        <f t="shared" si="151"/>
        <v>0.12532140939867215</v>
      </c>
      <c r="CV20">
        <f t="shared" si="141"/>
        <v>43.20438340448489</v>
      </c>
      <c r="CW20">
        <f t="shared" si="142"/>
        <v>16.65183593725179</v>
      </c>
      <c r="CY20">
        <f>COUNTIF(CZ19:CZ28,"home")</f>
        <v>0.0</v>
      </c>
      <c r="CZ20" t="e">
        <f>IF(DE5=2,"draw",IF(DE6=2,"away",IF(DE7=2,"draw",IF(DE8=2,"home",IF(DE9=2,"away",IF(DE10=2,"away",IF(DE11=2,"home",IF(DE12=2,"away",IF(DE13=2,"draw",IF(DE14=2,"home","rountime"))))))))))</f>
        <v>#N/A</v>
      </c>
      <c r="DA20" s="201">
        <v>4.0</v>
      </c>
      <c r="DB20" s="202" t="s">
        <v>81</v>
      </c>
      <c r="DC20" s="203">
        <v>1.0</v>
      </c>
      <c r="DD20" s="192" t="e">
        <f t="shared" si="51"/>
        <v>#N/A</v>
      </c>
      <c r="DE20" s="204" t="e">
        <f t="shared" si="52"/>
        <v>#N/A</v>
      </c>
      <c r="DF20" t="e">
        <f>IF(DF5&gt;DF43,"yes",IF(DF5=DF43,"equal","no"))</f>
        <v>#N/A</v>
      </c>
      <c r="DL20" t="s">
        <v>98</v>
      </c>
      <c r="DM20" t="e">
        <f>IF(DO15&lt;DO53,DO15/(DO15+DO53)*100,DO53/(DO53+DO15)*100)</f>
        <v>#N/A</v>
      </c>
      <c r="DQ20" t="e">
        <f>DS21</f>
        <v>#N/A</v>
      </c>
      <c r="DR20" t="e">
        <f>MIN(DS19:DT23)</f>
        <v>#N/A</v>
      </c>
      <c r="DS20" t="e">
        <f t="shared" si="152" ref="DS20:DT20">ABS(DS7-$DR$18)</f>
        <v>#N/A</v>
      </c>
      <c r="DT20" t="e">
        <f t="shared" si="152"/>
        <v>#N/A</v>
      </c>
      <c r="DU20" t="e">
        <f t="shared" si="144"/>
        <v>#N/A</v>
      </c>
      <c r="DV20" t="e">
        <f t="shared" si="153" ref="DV20:DV23">ABS(DU20-$BW$24)</f>
        <v>#N/A</v>
      </c>
    </row>
    <row r="21" spans="8:8" ht="15.75" customHeight="1">
      <c r="C21">
        <f>COUNTIF(D19:D28,"draw")</f>
        <v>3.0</v>
      </c>
      <c r="D21" t="str">
        <f>IF(I5=3,"draw",IF(I6=3,"away",IF(I7=3,"draw",IF(I8=3,"home",IF(I9=3,"away",IF(I10=3,"away",IF(I11=3,"home",IF(I12=3,"away",IF(I13=3,"draw",IF(I14=3,"home","rountime"))))))))))</f>
        <v>draw</v>
      </c>
      <c r="E21" s="201">
        <v>4.0</v>
      </c>
      <c r="F21" s="202" t="s">
        <v>81</v>
      </c>
      <c r="G21" s="203">
        <v>0.0</v>
      </c>
      <c r="H21" s="192">
        <f t="shared" si="38"/>
        <v>1.5190720732218932</v>
      </c>
      <c r="I21" s="204">
        <f t="shared" si="39"/>
        <v>11.0</v>
      </c>
      <c r="J21">
        <f>COUNTIF(J15:J18,MIN(1))</f>
        <v>2.0</v>
      </c>
      <c r="L21">
        <f t="shared" si="128"/>
        <v>0.045976421949631044</v>
      </c>
      <c r="M21">
        <f t="shared" si="145"/>
        <v>0.050894892773097014</v>
      </c>
      <c r="P21" t="s">
        <v>99</v>
      </c>
      <c r="Q21">
        <f>S53/(S53+S15)*100</f>
        <v>10.162271470889726</v>
      </c>
      <c r="U21">
        <f>U20/(V19+U20)*100</f>
        <v>46.69999601765522</v>
      </c>
      <c r="V21">
        <f>V20/(V20+V19)*100</f>
        <v>43.20438340448489</v>
      </c>
      <c r="W21">
        <f t="shared" si="154" ref="W21:X21">ABS(W8-$V$18)</f>
        <v>0.1443450448611649</v>
      </c>
      <c r="X21">
        <f t="shared" si="154"/>
        <v>0.1443450448611649</v>
      </c>
      <c r="Y21">
        <f t="shared" si="130"/>
        <v>46.69999601765522</v>
      </c>
      <c r="Z21">
        <f t="shared" si="131"/>
        <v>13.15622332408146</v>
      </c>
      <c r="AB21">
        <f>COUNTIF(AC19:AC28,"draw")</f>
        <v>2.0</v>
      </c>
      <c r="AC21" t="str">
        <f>IF(AH5=3,"draw",IF(AH6=3,"away",IF(AH7=3,"draw",IF(AH8=3,"home",IF(AH9=3,"away",IF(AH10=3,"away",IF(AH11=3,"home",IF(AH12=3,"away",IF(AH13=3,"draw",IF(AH14=3,"home","rountime"))))))))))</f>
        <v>home</v>
      </c>
      <c r="AD21" s="201">
        <v>4.0</v>
      </c>
      <c r="AE21" s="202">
        <f t="shared" si="41"/>
        <v>4.0</v>
      </c>
      <c r="AF21" s="203">
        <v>0.0</v>
      </c>
      <c r="AG21" s="192">
        <f t="shared" si="42"/>
        <v>1.1345037875488424</v>
      </c>
      <c r="AH21" s="204">
        <f t="shared" si="43"/>
        <v>25.0</v>
      </c>
      <c r="AI21">
        <f>COUNTIF(AI15:AI18,MIN(1))</f>
        <v>1.0</v>
      </c>
      <c r="AK21">
        <f t="shared" si="132"/>
        <v>0.020175986195002226</v>
      </c>
      <c r="AL21">
        <f t="shared" si="147"/>
        <v>0.06296403870131861</v>
      </c>
      <c r="AO21" t="s">
        <v>99</v>
      </c>
      <c r="AP21">
        <f>AR53/(AR53+AR15)*100</f>
        <v>94.67375124049593</v>
      </c>
      <c r="AT21">
        <f>AT20/(AU19+AT20)*100</f>
        <v>37.516213414594766</v>
      </c>
      <c r="AU21">
        <f>AU20/(AU20+AU19)*100</f>
        <v>9.33769179762142</v>
      </c>
      <c r="AV21">
        <f t="shared" si="155" ref="AV21:AW21">ABS(AV8-$AU$18)</f>
        <v>0.3031426810282263</v>
      </c>
      <c r="AW21">
        <f t="shared" si="155"/>
        <v>0.30314268102822634</v>
      </c>
      <c r="AX21">
        <f t="shared" si="134"/>
        <v>37.516213414594766</v>
      </c>
      <c r="AY21">
        <f t="shared" si="135"/>
        <v>5.333344208947352</v>
      </c>
      <c r="BA21">
        <f>COUNTIF(BB19:BB28,"draw")</f>
        <v>2.0</v>
      </c>
      <c r="BB21" t="str">
        <f>IF(BG5=3,"draw",IF(BG6=3,"away",IF(BG7=3,"draw",IF(BG8=3,"home",IF(BG9=3,"away",IF(BG10=3,"away",IF(BG11=3,"home",IF(BG12=3,"away",IF(BG13=3,"draw",IF(BG14=3,"home","rountime"))))))))))</f>
        <v>home</v>
      </c>
      <c r="BC21" s="201">
        <v>4.0</v>
      </c>
      <c r="BD21" s="202" t="s">
        <v>81</v>
      </c>
      <c r="BE21" s="203">
        <v>0.0</v>
      </c>
      <c r="BF21" s="192">
        <f t="shared" si="45"/>
        <v>1.1345037875488424</v>
      </c>
      <c r="BG21" s="204">
        <f t="shared" si="46"/>
        <v>25.0</v>
      </c>
      <c r="BH21">
        <f>COUNTIF(BH15:BH18,MIN(1))</f>
        <v>1.0</v>
      </c>
      <c r="BJ21">
        <f t="shared" si="136"/>
        <v>0.020175986195002226</v>
      </c>
      <c r="BK21">
        <f t="shared" si="149"/>
        <v>0.06296403870131861</v>
      </c>
      <c r="BN21" t="s">
        <v>99</v>
      </c>
      <c r="BO21">
        <f>BQ53/(BQ53+BQ15)*100</f>
        <v>94.67375124049593</v>
      </c>
      <c r="BS21">
        <f>BS20/(BT19+BS20)*100</f>
        <v>37.516213414594766</v>
      </c>
      <c r="BT21">
        <f>BT20/(BT20+BT19)*100</f>
        <v>9.33769179762142</v>
      </c>
      <c r="BU21">
        <f t="shared" si="156" ref="BU21:BV21">ABS(BU8-$BT$18)</f>
        <v>0.3031426810282263</v>
      </c>
      <c r="BV21">
        <f t="shared" si="156"/>
        <v>0.30314268102822634</v>
      </c>
      <c r="BW21">
        <f t="shared" si="138"/>
        <v>37.516213414594766</v>
      </c>
      <c r="BX21">
        <f t="shared" si="139"/>
        <v>5.333344208947352</v>
      </c>
      <c r="BZ21">
        <f>COUNTIF(CA19:CA28,"draw")</f>
        <v>3.0</v>
      </c>
      <c r="CA21" t="str">
        <f>IF(CF5=3,"draw",IF(CF6=3,"away",IF(CF7=3,"draw",IF(CF8=3,"home",IF(CF9=3,"away",IF(CF10=3,"away",IF(CF11=3,"home",IF(CF12=3,"away",IF(CF13=3,"draw",IF(CF14=3,"home","rountime"))))))))))</f>
        <v>draw</v>
      </c>
      <c r="CB21" s="201">
        <v>4.0</v>
      </c>
      <c r="CC21" s="202" t="s">
        <v>81</v>
      </c>
      <c r="CD21" s="203">
        <v>0.0</v>
      </c>
      <c r="CE21" s="192">
        <f t="shared" si="48"/>
        <v>1.5190720732218932</v>
      </c>
      <c r="CF21" s="204">
        <f t="shared" si="49"/>
        <v>11.0</v>
      </c>
      <c r="CG21">
        <f>COUNTIF(CG15:CG18,MIN(1))</f>
        <v>2.0</v>
      </c>
      <c r="CM21" t="s">
        <v>99</v>
      </c>
      <c r="CN21">
        <f>CP53/(CP53+CP15)*100</f>
        <v>10.162271470889726</v>
      </c>
      <c r="CR21">
        <f>CR20/(CS19+CR20)*100</f>
        <v>46.69999601765522</v>
      </c>
      <c r="CS21">
        <f>CS20/(CS20+CS19)*100</f>
        <v>43.20438340448489</v>
      </c>
      <c r="CT21">
        <f t="shared" si="157" ref="CT21:CU21">ABS(CT8-$CS$18)</f>
        <v>0.1443450448611649</v>
      </c>
      <c r="CU21">
        <f t="shared" si="157"/>
        <v>0.1443450448611649</v>
      </c>
      <c r="CV21">
        <f t="shared" si="141"/>
        <v>46.69999601765522</v>
      </c>
      <c r="CW21">
        <f t="shared" si="142"/>
        <v>13.15622332408146</v>
      </c>
      <c r="CY21">
        <f>COUNTIF(CZ19:CZ28,"draw")</f>
        <v>0.0</v>
      </c>
      <c r="CZ21" t="e">
        <f>IF(DE5=3,"draw",IF(DE6=3,"away",IF(DE7=3,"draw",IF(DE8=3,"home",IF(DE9=3,"away",IF(DE10=3,"away",IF(DE11=3,"home",IF(DE12=3,"away",IF(DE13=3,"draw",IF(DE14=3,"home","rountime"))))))))))</f>
        <v>#N/A</v>
      </c>
      <c r="DA21" s="201">
        <v>4.0</v>
      </c>
      <c r="DB21" s="202" t="s">
        <v>81</v>
      </c>
      <c r="DC21" s="203">
        <v>0.0</v>
      </c>
      <c r="DD21" s="192" t="e">
        <f t="shared" si="51"/>
        <v>#N/A</v>
      </c>
      <c r="DE21" s="204" t="e">
        <f t="shared" si="52"/>
        <v>#N/A</v>
      </c>
      <c r="DF21">
        <f>COUNTIF(DF15:DF18,MIN(1))</f>
        <v>0.0</v>
      </c>
      <c r="DL21" t="s">
        <v>99</v>
      </c>
      <c r="DM21" t="e">
        <f>DO53/(DO53+DO15)*100</f>
        <v>#N/A</v>
      </c>
      <c r="DQ21" t="e">
        <f>DQ20/(DR19+DQ20)*100</f>
        <v>#N/A</v>
      </c>
      <c r="DR21" t="e">
        <f>DR20/(DR20+DR19)*100</f>
        <v>#N/A</v>
      </c>
      <c r="DS21" t="e">
        <f t="shared" si="158" ref="DS21:DT21">ABS(DS8-$DR$18)</f>
        <v>#N/A</v>
      </c>
      <c r="DT21" t="e">
        <f t="shared" si="158"/>
        <v>#N/A</v>
      </c>
      <c r="DU21" t="e">
        <f t="shared" si="144"/>
        <v>#N/A</v>
      </c>
      <c r="DV21" t="e">
        <f t="shared" si="153"/>
        <v>#N/A</v>
      </c>
    </row>
    <row r="22" spans="8:8" ht="14.25" customHeight="1">
      <c r="C22">
        <f>COUNTIF(D19:D28,"away")</f>
        <v>3.0</v>
      </c>
      <c r="D22" t="str">
        <f>IF(I5=4,"draw",IF(I6=4,"away",IF(I7=4,"draw",IF(I8=4,"home",IF(I9=4,"away",IF(I10=4,"away",IF(I11=4,"home",IF(I12=4,"away",IF(I13=4,"draw",IF(I14=4,"home","rountime"))))))))))</f>
        <v>away</v>
      </c>
      <c r="E22" s="201">
        <v>4.0</v>
      </c>
      <c r="F22" s="202" t="s">
        <v>81</v>
      </c>
      <c r="G22" s="203">
        <v>2.0</v>
      </c>
      <c r="H22" s="192">
        <f t="shared" si="38"/>
        <v>0.48952239546506326</v>
      </c>
      <c r="I22" s="204">
        <f t="shared" si="39"/>
        <v>17.0</v>
      </c>
      <c r="J22">
        <f>COUNTIF(J10:J13,3)</f>
        <v>1.0</v>
      </c>
      <c r="L22">
        <f t="shared" si="128"/>
        <v>0.015190720732218931</v>
      </c>
      <c r="M22">
        <f t="shared" si="159" ref="M22:M24">Q6</f>
        <v>0.01030532846046562</v>
      </c>
      <c r="P22" t="s">
        <v>100</v>
      </c>
      <c r="Q22" s="220">
        <f>AVERAGE(S15,S53)*100</f>
        <v>14.438545543269498</v>
      </c>
      <c r="U22">
        <f>IF(Z24=Z19,0.5,IF(Z24=Z20,1.5,IF(Z24=Z21,2.5,IF(Z24=Z22,3.5,IF(Z24=Z23,3.5)))))</f>
        <v>3.5</v>
      </c>
      <c r="V22">
        <f>(V20/V19)*100</f>
        <v>76.06992580462017</v>
      </c>
      <c r="W22">
        <f t="shared" si="160" ref="W22:X22">ABS(W9-$V$18)</f>
        <v>0.3353065028716972</v>
      </c>
      <c r="X22">
        <f t="shared" si="160"/>
        <v>0.3353065028716972</v>
      </c>
      <c r="Y22">
        <f t="shared" si="130"/>
        <v>67.05439180065214</v>
      </c>
      <c r="Z22">
        <f t="shared" si="131"/>
        <v>7.198172458915465</v>
      </c>
      <c r="AB22">
        <f>COUNTIF(AC19:AC28,"away")</f>
        <v>2.0</v>
      </c>
      <c r="AC22" t="str">
        <f>IF(AH5=4,"draw",IF(AH6=4,"away",IF(AH7=4,"draw",IF(AH8=4,"home",IF(AH9=4,"away",IF(AH10=4,"away",IF(AH11=4,"home",IF(AH12=4,"away",IF(AH13=4,"draw",IF(AH14=4,"home","rountime"))))))))))</f>
        <v>draw</v>
      </c>
      <c r="AD22" s="201">
        <v>4.0</v>
      </c>
      <c r="AE22" s="202">
        <f t="shared" si="41"/>
        <v>6.0</v>
      </c>
      <c r="AF22" s="203">
        <v>2.0</v>
      </c>
      <c r="AG22" s="192">
        <f t="shared" si="42"/>
        <v>2.9852096963783152</v>
      </c>
      <c r="AH22" s="204">
        <f t="shared" si="43"/>
        <v>11.0</v>
      </c>
      <c r="AI22">
        <f>COUNTIF(AI10:AI13,3)</f>
        <v>1.0</v>
      </c>
      <c r="AK22">
        <f t="shared" si="132"/>
        <v>0.011345037875488424</v>
      </c>
      <c r="AL22">
        <f t="shared" si="161" ref="AL22:AL24">AP6</f>
        <v>0.02140620093187735</v>
      </c>
      <c r="AO22" t="s">
        <v>100</v>
      </c>
      <c r="AP22" s="220">
        <f>AVERAGE(AR15,AR53)*100</f>
        <v>13.10063174286985</v>
      </c>
      <c r="AT22">
        <f>IF(AY24=AY19,0.5,IF(AY24=AY20,1.5,IF(AY24=AY21,2.5,IF(AY24=AY22,3.5,IF(AY24=AY23,3.5)))))</f>
        <v>2.5</v>
      </c>
      <c r="AU22">
        <f>(AU20/AU19)*100</f>
        <v>10.299419883263509</v>
      </c>
      <c r="AV22">
        <f t="shared" si="162" ref="AV22:AW22">ABS(AV9-$AU$18)</f>
        <v>0.13686247163458676</v>
      </c>
      <c r="AW22">
        <f t="shared" si="162"/>
        <v>0.1368624716345868</v>
      </c>
      <c r="AX22">
        <f t="shared" si="134"/>
        <v>21.326416288197507</v>
      </c>
      <c r="AY22">
        <f t="shared" si="135"/>
        <v>10.856452917449907</v>
      </c>
      <c r="BA22">
        <f>COUNTIF(BB19:BB28,"away")</f>
        <v>2.0</v>
      </c>
      <c r="BB22" t="str">
        <f>IF(BG5=4,"draw",IF(BG6=4,"away",IF(BG7=4,"draw",IF(BG8=4,"home",IF(BG9=4,"away",IF(BG10=4,"away",IF(BG11=4,"home",IF(BG12=4,"away",IF(BG13=4,"draw",IF(BG14=4,"home","rountime"))))))))))</f>
        <v>draw</v>
      </c>
      <c r="BC22" s="201">
        <v>4.0</v>
      </c>
      <c r="BD22" s="202" t="s">
        <v>81</v>
      </c>
      <c r="BE22" s="203">
        <v>2.0</v>
      </c>
      <c r="BF22" s="192">
        <f t="shared" si="45"/>
        <v>2.9852096963783152</v>
      </c>
      <c r="BG22" s="204">
        <f t="shared" si="46"/>
        <v>11.0</v>
      </c>
      <c r="BH22">
        <f>COUNTIF(BH10:BH13,3)</f>
        <v>1.0</v>
      </c>
      <c r="BJ22">
        <f t="shared" si="136"/>
        <v>0.011345037875488424</v>
      </c>
      <c r="BK22">
        <f t="shared" si="163" ref="BK22:BK24">BO6</f>
        <v>0.02140620093187735</v>
      </c>
      <c r="BN22" t="s">
        <v>100</v>
      </c>
      <c r="BO22" s="220">
        <f>AVERAGE(BQ15,BQ53)*100</f>
        <v>13.10063174286985</v>
      </c>
      <c r="BS22">
        <f>IF(BX24=BX19,0.5,IF(BX24=BX20,1.5,IF(BX24=BX21,2.5,IF(BX24=BX22,3.5,IF(BX24=BX23,3.5)))))</f>
        <v>2.5</v>
      </c>
      <c r="BT22">
        <f>(BT20/BT19)*100</f>
        <v>10.299419883263509</v>
      </c>
      <c r="BU22">
        <f t="shared" si="164" ref="BU22:BV22">ABS(BU9-$BT$18)</f>
        <v>0.13686247163458676</v>
      </c>
      <c r="BV22">
        <f t="shared" si="164"/>
        <v>0.1368624716345868</v>
      </c>
      <c r="BW22">
        <f t="shared" si="138"/>
        <v>21.326416288197507</v>
      </c>
      <c r="BX22">
        <f t="shared" si="139"/>
        <v>10.856452917449907</v>
      </c>
      <c r="BZ22">
        <f>COUNTIF(CA19:CA28,"away")</f>
        <v>3.0</v>
      </c>
      <c r="CA22" t="str">
        <f>IF(CF5=4,"draw",IF(CF6=4,"away",IF(CF7=4,"draw",IF(CF8=4,"home",IF(CF9=4,"away",IF(CF10=4,"away",IF(CF11=4,"home",IF(CF12=4,"away",IF(CF13=4,"draw",IF(CF14=4,"home","rountime"))))))))))</f>
        <v>away</v>
      </c>
      <c r="CB22" s="201">
        <v>4.0</v>
      </c>
      <c r="CC22" s="202" t="s">
        <v>81</v>
      </c>
      <c r="CD22" s="203">
        <v>2.0</v>
      </c>
      <c r="CE22" s="192">
        <f t="shared" si="48"/>
        <v>0.48952239546506326</v>
      </c>
      <c r="CF22" s="204">
        <f t="shared" si="49"/>
        <v>17.0</v>
      </c>
      <c r="CG22">
        <f>COUNTIF(CG10:CG13,3)</f>
        <v>1.0</v>
      </c>
      <c r="CM22" t="s">
        <v>100</v>
      </c>
      <c r="CN22" s="220">
        <f>AVERAGE(CP15,CP53)*100</f>
        <v>14.438545543269498</v>
      </c>
      <c r="CR22">
        <f>IF(CW24=CW19,0.5,IF(CW24=CW20,1.5,IF(CW24=CW21,2.5,IF(CW24=CW22,3.5,IF(CW24=CW23,3.5)))))</f>
        <v>3.5</v>
      </c>
      <c r="CS22">
        <f>(CS20/CS19)*100</f>
        <v>76.06992580462017</v>
      </c>
      <c r="CT22">
        <f t="shared" si="165" ref="CT22:CU22">ABS(CT9-$CS$18)</f>
        <v>0.3353065028716972</v>
      </c>
      <c r="CU22">
        <f t="shared" si="165"/>
        <v>0.3353065028716972</v>
      </c>
      <c r="CV22">
        <f t="shared" si="141"/>
        <v>67.05439180065214</v>
      </c>
      <c r="CW22">
        <f t="shared" si="142"/>
        <v>7.198172458915465</v>
      </c>
      <c r="CY22">
        <f>COUNTIF(CZ19:CZ28,"away")</f>
        <v>0.0</v>
      </c>
      <c r="CZ22" t="e">
        <f>IF(DE5=4,"draw",IF(DE6=4,"away",IF(DE7=4,"draw",IF(DE8=4,"home",IF(DE9=4,"away",IF(DE10=4,"away",IF(DE11=4,"home",IF(DE12=4,"away",IF(DE13=4,"draw",IF(DE14=4,"home","rountime"))))))))))</f>
        <v>#N/A</v>
      </c>
      <c r="DA22" s="201">
        <v>4.0</v>
      </c>
      <c r="DB22" s="202" t="s">
        <v>81</v>
      </c>
      <c r="DC22" s="203">
        <v>2.0</v>
      </c>
      <c r="DD22" s="192" t="e">
        <f t="shared" si="51"/>
        <v>#N/A</v>
      </c>
      <c r="DE22" s="204" t="e">
        <f t="shared" si="52"/>
        <v>#N/A</v>
      </c>
      <c r="DF22">
        <f>COUNTIF(DF10:DF13,3)</f>
        <v>0.0</v>
      </c>
      <c r="DL22" t="s">
        <v>100</v>
      </c>
      <c r="DM22" s="220" t="e">
        <f>AVERAGE(DO15,DO53)*100</f>
        <v>#N/A</v>
      </c>
      <c r="DQ22" t="e">
        <f>IF(DV24=DV19,0.5,IF(DV24=DV20,1.5,IF(DV24=DV21,2.5,IF(DV24=DV22,3.5,IF(DV24=DV23,3.5)))))</f>
        <v>#N/A</v>
      </c>
      <c r="DR22" t="e">
        <f>(DR20/DR19)*100</f>
        <v>#N/A</v>
      </c>
      <c r="DS22" t="e">
        <f t="shared" si="166" ref="DS22:DT22">ABS(DS9-$DR$18)</f>
        <v>#N/A</v>
      </c>
      <c r="DT22" t="e">
        <f t="shared" si="166"/>
        <v>#N/A</v>
      </c>
      <c r="DU22" t="e">
        <f t="shared" si="144"/>
        <v>#N/A</v>
      </c>
      <c r="DV22" t="e">
        <f t="shared" si="153"/>
        <v>#N/A</v>
      </c>
    </row>
    <row r="23" spans="8:8" ht="15.75" customHeight="1">
      <c r="C23">
        <f>(C20+C60)/2</f>
        <v>2.5</v>
      </c>
      <c r="D23" t="str">
        <f>IF(I5=5,"draw",IF(I6=5,"away",IF(I7=5,"draw",IF(I8=5,"home",IF(I9=5,"away",IF(I10=5,"away",IF(I11=5,"home",IF(I12=5,"away",IF(I13=5,"draw",IF(I14=5,"home","rountime"))))))))))</f>
        <v>home</v>
      </c>
      <c r="E23" s="201">
        <v>3.0</v>
      </c>
      <c r="F23" s="202" t="s">
        <v>81</v>
      </c>
      <c r="G23" s="203">
        <v>4.0</v>
      </c>
      <c r="H23" s="192">
        <f t="shared" si="38"/>
        <v>0.07957420179382638</v>
      </c>
      <c r="I23" s="204">
        <f t="shared" si="39"/>
        <v>25.0</v>
      </c>
      <c r="J23">
        <f>COUNTIF(J10:J13,2)</f>
        <v>1.0</v>
      </c>
      <c r="L23">
        <f t="shared" si="128"/>
        <v>0.004015240622544673</v>
      </c>
      <c r="M23">
        <f t="shared" si="159"/>
        <v>0.01361962154151296</v>
      </c>
      <c r="P23" s="221" t="s">
        <v>101</v>
      </c>
      <c r="Q23" s="221">
        <f>S15-S53</f>
        <v>0.2300795430831861</v>
      </c>
      <c r="R23" s="221" t="str">
        <f>IF(Q23&lt;0,"best Tab 2","Best Tab 1")</f>
        <v>Best Tab 1</v>
      </c>
      <c r="S23" s="221">
        <f>(Q23/Q16)*100</f>
        <v>35.906192694143094</v>
      </c>
      <c r="U23" t="str">
        <f>IF(ABS(V22-R38)&lt;15,"goals",IF(V22=MIN(V22,R38),"Goals","wins"))</f>
        <v>wins</v>
      </c>
      <c r="V23" t="str">
        <f>IF(V24=W18,"under","over")</f>
        <v>under</v>
      </c>
      <c r="W23">
        <f t="shared" si="167" ref="W23:X23">ABS(W10-$V$18)</f>
        <v>0.4367270110665295</v>
      </c>
      <c r="X23">
        <f t="shared" si="167"/>
        <v>0.4367270110665295</v>
      </c>
      <c r="Y23">
        <f t="shared" si="130"/>
        <v>72.6096964381015</v>
      </c>
      <c r="Z23">
        <f t="shared" si="131"/>
        <v>12.753477096364819</v>
      </c>
      <c r="AB23">
        <f>(AB20+AB60)/2</f>
        <v>2.5</v>
      </c>
      <c r="AC23" t="str">
        <f>IF(AH5=5,"draw",IF(AH6=5,"away",IF(AH7=5,"draw",IF(AH8=5,"home",IF(AH9=5,"away",IF(AH10=5,"away",IF(AH11=5,"home",IF(AH12=5,"away",IF(AH13=5,"draw",IF(AH14=5,"home","rountime"))))))))))</f>
        <v>rountime</v>
      </c>
      <c r="AD23" s="201">
        <v>3.0</v>
      </c>
      <c r="AE23" s="202">
        <f t="shared" si="41"/>
        <v>7.0</v>
      </c>
      <c r="AF23" s="203">
        <v>4.0</v>
      </c>
      <c r="AG23" s="192">
        <f t="shared" si="42"/>
        <v>2.3282054882237633</v>
      </c>
      <c r="AH23" s="204">
        <f t="shared" si="43"/>
        <v>17.0</v>
      </c>
      <c r="AI23">
        <f>COUNTIF(AI10:AI13,2)</f>
        <v>1.0</v>
      </c>
      <c r="AK23">
        <f t="shared" si="132"/>
        <v>0.005103488202352137</v>
      </c>
      <c r="AL23">
        <f t="shared" si="161"/>
        <v>0.048147170204274066</v>
      </c>
      <c r="AO23" s="221" t="s">
        <v>101</v>
      </c>
      <c r="AP23" s="221">
        <f>AR15-AR53</f>
        <v>-0.234101745429725</v>
      </c>
      <c r="AQ23" s="221" t="str">
        <f>IF(AP23&lt;0,"best Tab 2","Best Tab 1")</f>
        <v>best Tab 2</v>
      </c>
      <c r="AR23" s="221">
        <f>(AP23/AP16)*100</f>
        <v>-41.194763079866284</v>
      </c>
      <c r="AT23" t="str">
        <f>IF(ABS(AU22-AQ38)&lt;15,"goals",IF(AU22=MIN(AU22,AQ38),"Goals","wins"))</f>
        <v>Goals</v>
      </c>
      <c r="AU23" t="str">
        <f>IF(AU24=AV18,"under","over")</f>
        <v>over</v>
      </c>
      <c r="AV23">
        <f t="shared" si="168" ref="AV23:AW23">ABS(AV10-$AU$18)</f>
        <v>0.052000580709001654</v>
      </c>
      <c r="AW23">
        <f t="shared" si="168"/>
        <v>0.052000580709001654</v>
      </c>
      <c r="AX23">
        <f t="shared" si="134"/>
        <v>9.33769179762142</v>
      </c>
      <c r="AY23">
        <f t="shared" si="135"/>
        <v>22.845177408025993</v>
      </c>
      <c r="BA23">
        <f>(BA20+BA60)/2</f>
        <v>2.5</v>
      </c>
      <c r="BB23" t="str">
        <f>IF(BG5=5,"draw",IF(BG6=5,"away",IF(BG7=5,"draw",IF(BG8=5,"home",IF(BG9=5,"away",IF(BG10=5,"away",IF(BG11=5,"home",IF(BG12=5,"away",IF(BG13=5,"draw",IF(BG14=5,"home","rountime"))))))))))</f>
        <v>rountime</v>
      </c>
      <c r="BC23" s="201">
        <v>3.0</v>
      </c>
      <c r="BD23" s="202" t="s">
        <v>81</v>
      </c>
      <c r="BE23" s="203">
        <v>4.0</v>
      </c>
      <c r="BF23" s="192">
        <f t="shared" si="45"/>
        <v>2.3282054882237633</v>
      </c>
      <c r="BG23" s="204">
        <f t="shared" si="46"/>
        <v>17.0</v>
      </c>
      <c r="BH23">
        <f>COUNTIF(BH10:BH13,2)</f>
        <v>1.0</v>
      </c>
      <c r="BJ23">
        <f t="shared" si="136"/>
        <v>0.005103488202352137</v>
      </c>
      <c r="BK23">
        <f t="shared" si="163"/>
        <v>0.048147170204274066</v>
      </c>
      <c r="BN23" s="221" t="s">
        <v>101</v>
      </c>
      <c r="BO23" s="221">
        <f>BQ15-BQ53</f>
        <v>-0.234101745429725</v>
      </c>
      <c r="BP23" s="221" t="str">
        <f>IF(BO23&lt;0,"best Tab 2","Best Tab 1")</f>
        <v>best Tab 2</v>
      </c>
      <c r="BQ23" s="221">
        <f>(BO23/BO16)*100</f>
        <v>-41.194763079866284</v>
      </c>
      <c r="BS23" t="str">
        <f>IF(ABS(BT22-BP38)&lt;15,"goals",IF(BT22=MIN(BT22,BP38),"Goals","wins"))</f>
        <v>Goals</v>
      </c>
      <c r="BT23" t="str">
        <f>IF(BT24=BU18,"under","over")</f>
        <v>over</v>
      </c>
      <c r="BU23">
        <f t="shared" si="169" ref="BU23:BV23">ABS(BU10-$BT$18)</f>
        <v>0.052000580709001654</v>
      </c>
      <c r="BV23">
        <f t="shared" si="169"/>
        <v>0.052000580709001654</v>
      </c>
      <c r="BW23">
        <f t="shared" si="138"/>
        <v>9.33769179762142</v>
      </c>
      <c r="BX23">
        <f t="shared" si="139"/>
        <v>22.845177408025993</v>
      </c>
      <c r="BZ23">
        <f>(BZ20+BZ60)/2</f>
        <v>2.5</v>
      </c>
      <c r="CA23" t="str">
        <f>IF(CF5=5,"draw",IF(CF6=5,"away",IF(CF7=5,"draw",IF(CF8=5,"home",IF(CF9=5,"away",IF(CF10=5,"away",IF(CF11=5,"home",IF(CF12=5,"away",IF(CF13=5,"draw",IF(CF14=5,"home","rountime"))))))))))</f>
        <v>home</v>
      </c>
      <c r="CB23" s="201">
        <v>3.0</v>
      </c>
      <c r="CC23" s="202" t="s">
        <v>81</v>
      </c>
      <c r="CD23" s="203">
        <v>4.0</v>
      </c>
      <c r="CE23" s="192">
        <f t="shared" si="48"/>
        <v>0.07957420179382638</v>
      </c>
      <c r="CF23" s="204">
        <f t="shared" si="49"/>
        <v>25.0</v>
      </c>
      <c r="CG23">
        <f>COUNTIF(CG10:CG13,2)</f>
        <v>1.0</v>
      </c>
      <c r="CM23" s="221" t="s">
        <v>101</v>
      </c>
      <c r="CN23" s="221">
        <f>CP15-CP53</f>
        <v>0.2300795430831861</v>
      </c>
      <c r="CO23" s="221" t="str">
        <f>IF(CN23&lt;0,"best Tab 2","Best Tab 1")</f>
        <v>Best Tab 1</v>
      </c>
      <c r="CP23" s="221">
        <f>(CN23/CN16)*100</f>
        <v>35.906192694143094</v>
      </c>
      <c r="CR23" t="str">
        <f>IF(ABS(CS22-CO38)&lt;15,"goals",IF(CS22=MIN(CS22,CO38),"Goals","wins"))</f>
        <v>wins</v>
      </c>
      <c r="CS23" t="str">
        <f>IF(CS24=CT18,"under","over")</f>
        <v>under</v>
      </c>
      <c r="CT23">
        <f t="shared" si="170" ref="CT23:CU23">ABS(CT10-$CS$18)</f>
        <v>0.4367270110665295</v>
      </c>
      <c r="CU23">
        <f t="shared" si="170"/>
        <v>0.4367270110665295</v>
      </c>
      <c r="CV23">
        <f t="shared" si="141"/>
        <v>72.6096964381015</v>
      </c>
      <c r="CW23">
        <f t="shared" si="142"/>
        <v>12.753477096364819</v>
      </c>
      <c r="CY23">
        <f>(CY20+CY60)/2</f>
        <v>0.0</v>
      </c>
      <c r="CZ23" t="e">
        <f>IF(DE5=5,"draw",IF(DE6=5,"away",IF(DE7=5,"draw",IF(DE8=5,"home",IF(DE9=5,"away",IF(DE10=5,"away",IF(DE11=5,"home",IF(DE12=5,"away",IF(DE13=5,"draw",IF(DE14=5,"home","rountime"))))))))))</f>
        <v>#N/A</v>
      </c>
      <c r="DA23" s="201">
        <v>3.0</v>
      </c>
      <c r="DB23" s="202" t="s">
        <v>81</v>
      </c>
      <c r="DC23" s="203">
        <v>4.0</v>
      </c>
      <c r="DD23" s="192" t="e">
        <f t="shared" si="51"/>
        <v>#N/A</v>
      </c>
      <c r="DE23" s="204" t="e">
        <f t="shared" si="52"/>
        <v>#N/A</v>
      </c>
      <c r="DF23">
        <f>COUNTIF(DF10:DF13,2)</f>
        <v>0.0</v>
      </c>
      <c r="DL23" s="221" t="s">
        <v>101</v>
      </c>
      <c r="DM23" s="221" t="e">
        <f>DO15-DO53</f>
        <v>#N/A</v>
      </c>
      <c r="DN23" s="221" t="e">
        <f>IF(DM23&lt;0,"best Tab 2","Best Tab 1")</f>
        <v>#N/A</v>
      </c>
      <c r="DO23" s="221" t="e">
        <f>(DM23/DM16)*100</f>
        <v>#N/A</v>
      </c>
      <c r="DQ23" t="e">
        <f>IF(ABS(DR22-DN38)&lt;5,"goals",IF(DR22=MIN(DR22,DN38),"Goals","wins"))</f>
        <v>#N/A</v>
      </c>
      <c r="DR23" t="e">
        <f>IF(DR24=DS18,"under","over")</f>
        <v>#N/A</v>
      </c>
      <c r="DS23" t="e">
        <f t="shared" si="171" ref="DS23:DT23">ABS(DS10-$DR$18)</f>
        <v>#N/A</v>
      </c>
      <c r="DT23" t="e">
        <f t="shared" si="171"/>
        <v>#N/A</v>
      </c>
      <c r="DU23" t="e">
        <f t="shared" si="144"/>
        <v>#N/A</v>
      </c>
      <c r="DV23" t="e">
        <f t="shared" si="153"/>
        <v>#N/A</v>
      </c>
    </row>
    <row r="24" spans="8:8" ht="15.75" customHeight="1">
      <c r="C24">
        <f>(C21+C59)/2</f>
        <v>2.5</v>
      </c>
      <c r="D24" t="str">
        <f>IF(I5=6,"draw",IF(I6=6,"away",IF(I7=6,"draw",IF(I8=6,"home",IF(I9=6,"away",IF(I10=6,"away",IF(I11=6,"home",IF(I12=6,"away",IF(I13=6,"draw",IF(I14=6,"home","rountime"))))))))))</f>
        <v>away</v>
      </c>
      <c r="E24" s="201">
        <v>2.0</v>
      </c>
      <c r="F24" s="202" t="s">
        <v>81</v>
      </c>
      <c r="G24" s="203">
        <v>5.0</v>
      </c>
      <c r="H24" s="192">
        <f t="shared" si="38"/>
        <v>0.029002299350885122</v>
      </c>
      <c r="I24" s="204">
        <f t="shared" si="39"/>
        <v>27.0</v>
      </c>
      <c r="J24" t="str">
        <f>IF(AND(J27&gt;0,J27=J21,OR(J27=J22,J27=J23)),"overD",IF(AND(J27&gt;J21,J27&gt;J22,J27&gt;J23),"over",IF(AND(J21&gt;1,OR(J21=J22,J21=J23)),"Draw",IF(AND(J21&gt;J22,J22&gt;J23),"x2",IF(AND(J21&gt;J23,J23&gt;J22),"1x",IF(J23&gt;J22,"home",IF(J22&gt;J23,"away","draw")))))))</f>
        <v>draw</v>
      </c>
      <c r="L24">
        <f t="shared" si="172" ref="L24:L27">O8</f>
        <v>0.08378481482733853</v>
      </c>
      <c r="M24">
        <f t="shared" si="159"/>
        <v>0.008999911630456792</v>
      </c>
      <c r="N24" s="222" t="str">
        <f>Sheet3!E38</f>
        <v>home</v>
      </c>
      <c r="O24" t="str">
        <f>Sheet3!F38</f>
        <v>Both Tabs</v>
      </c>
      <c r="P24" t="s">
        <v>102</v>
      </c>
      <c r="Q24">
        <f>Q19-Q21</f>
        <v>79.67545705822059</v>
      </c>
      <c r="V24">
        <f>MAX(W18,X18)</f>
        <v>0.5810695748920587</v>
      </c>
      <c r="W24" t="str">
        <f>IF(AND(V23="under",V22&lt;5),"u1.5",IF(AND(V23="under",V22&lt;28),"u2.5",IF(AND(V23="under",V22&lt;65),"u3.5",IF(AND(V23="under",V22&lt;95),"u4.5",IF(AND(V23="over",V22&gt;95),"o1.5",IF(AND(V23="over",V22&gt;65),"o1.5",IF(AND(V23="over",V22&gt;35),"o2.5",IF(AND(V23="over",V22&lt;28,V22&gt;15),"u.3.5+",IF(AND(V23="under",V22&gt;105),"o1.5","don't choose")))))))))</f>
        <v>u4.5</v>
      </c>
      <c r="X24" t="str">
        <f>IF(AND(T8="high",W24="u2.5"),"u3.5",IF(AND(V23="under",P35="mega",W24="u2.5"),"u3.5",IF(AND(P35="mega",W24="u.3.5+"),"u4.5+",IF(AND(P35="mega",W24="u1.5"),"u3.5",W24))))</f>
        <v>u4.5</v>
      </c>
      <c r="Y24">
        <f>AVERAGE(Y19:Y23)</f>
        <v>59.856219341736676</v>
      </c>
      <c r="Z24">
        <f>MIN(Z19:Z23)</f>
        <v>7.198172458915465</v>
      </c>
      <c r="AB24">
        <f>(AB21+AB59)/2</f>
        <v>2.5</v>
      </c>
      <c r="AC24" t="str">
        <f>IF(AH5=6,"draw",IF(AH6=6,"away",IF(AH7=6,"draw",IF(AH8=6,"home",IF(AH9=6,"away",IF(AH10=6,"away",IF(AH11=6,"home",IF(AH12=6,"away",IF(AH13=6,"draw",IF(AH14=6,"home","rountime"))))))))))</f>
        <v>rountime</v>
      </c>
      <c r="AD24" s="201">
        <v>2.0</v>
      </c>
      <c r="AE24" s="202">
        <f t="shared" si="41"/>
        <v>7.0</v>
      </c>
      <c r="AF24" s="203">
        <v>5.0</v>
      </c>
      <c r="AG24" s="192">
        <f t="shared" si="42"/>
        <v>1.4247571143023376</v>
      </c>
      <c r="AH24" s="204">
        <f t="shared" si="43"/>
        <v>21.0</v>
      </c>
      <c r="AI24" t="str">
        <f>IF(AND(AI27&gt;0,AI27=AI21,OR(AI27=AI22,AI27=AI23)),"overD",IF(AND(AI27&gt;AI21,AI27&gt;AI22,AI27&gt;AI23),"over",IF(AND(AI21&gt;1,OR(AI21=AI22,AI21=AI23)),"Draw",IF(AND(AI21&gt;AI22,AI22&gt;AI23),"x2",IF(AND(AI21&gt;AI23,AI23&gt;AI22),"1x",IF(AI23&gt;AI22,"home",IF(AI22&gt;AI23,"away","draw")))))))</f>
        <v>overD</v>
      </c>
      <c r="AK24">
        <f t="shared" si="173" ref="AK24:AK27">AN8</f>
        <v>0.061733983565441276</v>
      </c>
      <c r="AL24">
        <f t="shared" si="161"/>
        <v>0.054146693429080885</v>
      </c>
      <c r="AM24" s="222" t="str">
        <f>Sheet3!M38</f>
        <v>away</v>
      </c>
      <c r="AN24" t="str">
        <f>Sheet3!N38</f>
        <v>Both Tabs</v>
      </c>
      <c r="AO24" t="s">
        <v>102</v>
      </c>
      <c r="AP24">
        <f>AP19-AP21</f>
        <v>-89.34750248099184</v>
      </c>
      <c r="AU24">
        <f>MAX(AV18,AW18)</f>
        <v>0.7243586320023905</v>
      </c>
      <c r="AV24" t="str">
        <f>IF(AND(AU23="under",AU22&lt;5),"u1.5",IF(AND(AU23="under",AU22&lt;28),"u2.5",IF(AND(AU23="under",AU22&lt;65),"u3.5",IF(AND(AU23="under",AU22&lt;95),"u4.5",IF(AND(AU23="over",AU22&gt;95),"o1.5",IF(AND(AU23="over",AU22&gt;65),"o1.5",IF(AND(AU23="over",AU22&gt;35),"o2.5",IF(AND(AU23="over",AU22&lt;28,AU22&gt;15),"u.3.5+",IF(AND(AU23="under",AU22&gt;105),"o1.5","don't choose")))))))))</f>
        <v>don't choose</v>
      </c>
      <c r="AW24" t="str">
        <f>IF(AND(AS8="high",AV24="u2.5"),"u3.5",IF(AND(AU23="under",AO35="mega",AV24="u2.5"),"u3.5",IF(AND(AO35="mega",AV24="u.3.5+"),"u4.5+",IF(AND(AO35="mega",AV24="u1.5"),"u3.5",AV24))))</f>
        <v>don't choose</v>
      </c>
      <c r="AX24">
        <f>AVERAGE(AX19:AX23)</f>
        <v>32.182869205647414</v>
      </c>
      <c r="AY24">
        <f>MIN(AY19:AY23)</f>
        <v>5.333344208947352</v>
      </c>
      <c r="BA24">
        <f>(BA21+BA59)/2</f>
        <v>2.5</v>
      </c>
      <c r="BB24" t="str">
        <f>IF(BG5=6,"draw",IF(BG6=6,"away",IF(BG7=6,"draw",IF(BG8=6,"home",IF(BG9=6,"away",IF(BG10=6,"away",IF(BG11=6,"home",IF(BG12=6,"away",IF(BG13=6,"draw",IF(BG14=6,"home","rountime"))))))))))</f>
        <v>rountime</v>
      </c>
      <c r="BC24" s="201">
        <v>2.0</v>
      </c>
      <c r="BD24" s="202" t="s">
        <v>81</v>
      </c>
      <c r="BE24" s="203">
        <v>5.0</v>
      </c>
      <c r="BF24" s="192">
        <f t="shared" si="45"/>
        <v>1.4247571143023376</v>
      </c>
      <c r="BG24" s="204">
        <f t="shared" si="46"/>
        <v>21.0</v>
      </c>
      <c r="BH24" t="str">
        <f>IF(AND(BH27&gt;0,BH27=BH21,OR(BH27=BH22,BH27=BH23)),"overD",IF(AND(BH27&gt;BH21,BH27&gt;BH22,BH27&gt;BH23),"over",IF(AND(BH21&gt;1,OR(BH21=BH22,BH21=BH23)),"Draw",IF(AND(BH21&gt;BH22,BH22&gt;BH23),"x2",IF(AND(BH21&gt;BH23,BH23&gt;BH22),"1x",IF(BH23&gt;BH22,"home",IF(BH22&gt;BH23,"away","draw")))))))</f>
        <v>overD</v>
      </c>
      <c r="BJ24">
        <f t="shared" si="174" ref="BJ24:BJ27">BM8</f>
        <v>0.061733983565441276</v>
      </c>
      <c r="BK24">
        <f t="shared" si="163"/>
        <v>0.054146693429080885</v>
      </c>
      <c r="BL24" s="222" t="str">
        <f>Sheet3!U38</f>
        <v>away</v>
      </c>
      <c r="BM24" t="str">
        <f>Sheet3!V38</f>
        <v>Both Tabs</v>
      </c>
      <c r="BN24" t="s">
        <v>102</v>
      </c>
      <c r="BO24">
        <f>BO19-BO21</f>
        <v>-89.34750248099184</v>
      </c>
      <c r="BT24">
        <f>MAX(BU18,BV18)</f>
        <v>0.7243586320023905</v>
      </c>
      <c r="BU24" t="str">
        <f>IF(AND(BT23="under",BT22&lt;5),"u1.5",IF(AND(BT23="under",BT22&lt;28),"u2.5",IF(AND(BT23="under",BT22&lt;65),"u3.5",IF(AND(BT23="under",BT22&lt;95),"u4.5",IF(AND(BT23="over",BT22&gt;95),"o1.5",IF(AND(BT23="over",BT22&gt;65),"o1.5",IF(AND(BT23="over",BT22&gt;35),"o2.5",IF(AND(BT23="over",BT22&lt;28,BT22&gt;15),"u.3.5+",IF(AND(BT23="under",BT22&gt;105),"o1.5","don't choose")))))))))</f>
        <v>don't choose</v>
      </c>
      <c r="BV24" t="str">
        <f>IF(AND(BR8="high",BU24="u2.5"),"u3.5",IF(AND(BT23="under",BN35="mega",BU24="u2.5"),"u3.5",IF(AND(BN35="mega",BU24="u.3.5+"),"u4.5+",IF(AND(BN35="mega",BU24="u1.5"),"u3.5",BU24))))</f>
        <v>don't choose</v>
      </c>
      <c r="BW24">
        <f>AVERAGE(BW19:BW23)</f>
        <v>32.182869205647414</v>
      </c>
      <c r="BX24">
        <f>MIN(BX19:BX23)</f>
        <v>5.333344208947352</v>
      </c>
      <c r="BZ24">
        <f>(BZ21+BZ59)/2</f>
        <v>2.5</v>
      </c>
      <c r="CA24" t="str">
        <f>IF(CF5=6,"draw",IF(CF6=6,"away",IF(CF7=6,"draw",IF(CF8=6,"home",IF(CF9=6,"away",IF(CF10=6,"away",IF(CF11=6,"home",IF(CF12=6,"away",IF(CF13=6,"draw",IF(CF14=6,"home","rountime"))))))))))</f>
        <v>away</v>
      </c>
      <c r="CB24" s="201">
        <v>2.0</v>
      </c>
      <c r="CC24" s="202" t="s">
        <v>81</v>
      </c>
      <c r="CD24" s="203">
        <v>5.0</v>
      </c>
      <c r="CE24" s="192">
        <f t="shared" si="48"/>
        <v>0.029002299350885122</v>
      </c>
      <c r="CF24" s="204">
        <f t="shared" si="49"/>
        <v>27.0</v>
      </c>
      <c r="CG24" t="str">
        <f>IF(AND(CG27&gt;0,CG27=CG21,OR(CG27=CG22,CG27=CG23)),"overD",IF(AND(CG27&gt;CG21,CG27&gt;CG22,CG27&gt;CG23),"over",IF(AND(CG21&gt;1,OR(CG21=CG22,CG21=CG23)),"Draw",IF(AND(CG21&gt;CG22,CG22&gt;CG23),"x2",IF(AND(CG21&gt;CG23,CG23&gt;CG22),"1x",IF(CG23&gt;CG22,"home",IF(CG22&gt;CG23,"away","draw")))))))</f>
        <v>draw</v>
      </c>
      <c r="CK24" s="222" t="str">
        <f>Sheet3!AC38</f>
        <v>home</v>
      </c>
      <c r="CL24" t="str">
        <f>Sheet3!AD38</f>
        <v>Both Tabs</v>
      </c>
      <c r="CM24" t="s">
        <v>102</v>
      </c>
      <c r="CN24">
        <f>CN19-CN21</f>
        <v>79.67545705822059</v>
      </c>
      <c r="CS24">
        <f>MAX(CT18,CU18)</f>
        <v>0.5810695748920587</v>
      </c>
      <c r="CT24" t="str">
        <f>IF(AND(CS23="under",CS22&lt;5),"u1.5",IF(AND(CS23="under",CS22&lt;28),"u2.5",IF(AND(CS23="under",CS22&lt;65),"u3.5",IF(AND(CS23="under",CS22&lt;95),"u4.5",IF(AND(CS23="over",CS22&gt;95),"o1.5",IF(AND(CS23="over",CS22&gt;65),"o1.5",IF(AND(CS23="over",CS22&gt;35),"o2.5",IF(AND(CS23="over",CS22&lt;28,CS22&gt;15),"u.3.5+",IF(AND(CS23="under",CS22&gt;105),"o1.5","don't choose")))))))))</f>
        <v>u4.5</v>
      </c>
      <c r="CU24" t="str">
        <f>IF(AND(CQ8="high",CT24="u2.5"),"u3.5",IF(AND(CS23="under",CM35="mega",CT24="u2.5"),"u3.5",IF(AND(CM35="mega",CT24="u.3.5+"),"u4.5+",IF(AND(CM35="mega",CT24="u1.5"),"u3.5",CT24))))</f>
        <v>u4.5</v>
      </c>
      <c r="CV24">
        <f>AVERAGE(CV19:CV23)</f>
        <v>59.856219341736676</v>
      </c>
      <c r="CW24">
        <f>MIN(CW19:CW23)</f>
        <v>7.198172458915465</v>
      </c>
      <c r="CY24">
        <f>(CY21+CY59)/2</f>
        <v>0.0</v>
      </c>
      <c r="CZ24" t="e">
        <f>IF(DE5=6,"draw",IF(DE6=6,"away",IF(DE7=6,"draw",IF(DE8=6,"home",IF(DE9=6,"away",IF(DE10=6,"away",IF(DE11=6,"home",IF(DE12=6,"away",IF(DE13=6,"draw",IF(DE14=6,"home","rountime"))))))))))</f>
        <v>#N/A</v>
      </c>
      <c r="DA24" s="201">
        <v>2.0</v>
      </c>
      <c r="DB24" s="202" t="s">
        <v>81</v>
      </c>
      <c r="DC24" s="203">
        <v>5.0</v>
      </c>
      <c r="DD24" s="192" t="e">
        <f t="shared" si="51"/>
        <v>#N/A</v>
      </c>
      <c r="DE24" s="204" t="e">
        <f t="shared" si="52"/>
        <v>#N/A</v>
      </c>
      <c r="DF24" t="str">
        <f>IF(AND(DF27&gt;0,DF27=DF21,OR(DF27=DF22,DF27=DF23)),"overD",IF(AND(DF27&gt;DF21,DF27&gt;DF22,DF27&gt;DF23),"over",IF(AND(DF21&gt;1,OR(DF21=DF22,DF21=DF23)),"Draw",IF(AND(DF21&gt;DF22,DF22&gt;DF23),"x2",IF(AND(DF21&gt;DF23,DF23&gt;DF22),"1x",IF(DF23&gt;DF22,"home",IF(DF22&gt;DF23,"away","draw")))))))</f>
        <v>draw</v>
      </c>
      <c r="DJ24" s="222" t="e">
        <f>Sheet3!AK38</f>
        <v>#N/A</v>
      </c>
      <c r="DK24" t="e">
        <f>Sheet3!AL38</f>
        <v>#N/A</v>
      </c>
      <c r="DL24" t="s">
        <v>102</v>
      </c>
      <c r="DM24" t="e">
        <f>DM19-DM21</f>
        <v>#N/A</v>
      </c>
      <c r="DR24" t="e">
        <f>MAX(DS18,DT18)</f>
        <v>#N/A</v>
      </c>
      <c r="DS24" t="e">
        <f>IF(AND(DR23="under",DR22&lt;5),"u1.5",IF(AND(DR23="under",DR22&lt;28),"u2.5",IF(AND(DR23="under",DR22&lt;65),"u3.5",IF(AND(DR23="under",DR22&lt;95),"u4.5",IF(AND(DR23="over",DR22&gt;95),"o1.5",IF(AND(DR23="over",DR22&gt;65),"o1.5",IF(AND(DR23="over",DR22&gt;35),"o2.5",IF(AND(DR23="over",DR22&lt;28,DR22&gt;15),"u.3.5+",IF(AND(DR23="under",DR22&gt;105),"o1.5","don't choose")))))))))</f>
        <v>#N/A</v>
      </c>
      <c r="DT24" t="e">
        <f>IF(AND(DP8="high",DS24="u2.5"),"u3.5",IF(AND(DR23="under",DL35="mega",DS24="u2.5"),"u3.5",IF(AND(DL35="mega",DS24="u.3.5+"),"u4.5+",IF(AND(DL35="mega",DS24="u1.5"),"u3.5",DS24))))</f>
        <v>#N/A</v>
      </c>
      <c r="DU24" t="e">
        <f>AVERAGE(DU19:DU23)</f>
        <v>#N/A</v>
      </c>
      <c r="DV24" t="e">
        <f>MIN(DV19:DV23)</f>
        <v>#N/A</v>
      </c>
    </row>
    <row r="25" spans="8:8" ht="15.75" customHeight="1">
      <c r="C25">
        <f>(C22+C58)/2</f>
        <v>2.5</v>
      </c>
      <c r="D25" t="str">
        <f>IF(I5=7,"draw",IF(I6=7,"away",IF(I7=7,"draw",IF(I8=7,"home",IF(I9=7,"away",IF(I10=7,"away",IF(I11=7,"home",IF(I12=7,"away",IF(I13=7,"draw",IF(I14=7,"home","rountime"))))))))))</f>
        <v>rountime</v>
      </c>
      <c r="E25" s="201">
        <v>4.0</v>
      </c>
      <c r="F25" s="202" t="s">
        <v>81</v>
      </c>
      <c r="G25" s="203">
        <v>3.0</v>
      </c>
      <c r="H25" s="192">
        <f t="shared" si="38"/>
        <v>0.13099761879944916</v>
      </c>
      <c r="I25" s="204">
        <f t="shared" si="39"/>
        <v>23.0</v>
      </c>
      <c r="J25" t="str">
        <f>IF(AND(J22&gt;J23,J23=0),"cleared away",IF(AND(J23&gt;J22,J22=0),"cleared Home","doubled"))</f>
        <v>doubled</v>
      </c>
      <c r="L25">
        <f t="shared" si="172"/>
        <v>0.0369102732711454</v>
      </c>
      <c r="M25">
        <f t="shared" si="175" ref="M25:M28">R6</f>
        <v>0.0020683019333334117</v>
      </c>
      <c r="Q25">
        <f>IF(Q24&lt;0,-Q24,Q24)</f>
        <v>79.67545705822059</v>
      </c>
      <c r="V25" t="str">
        <f>IF(AND(W26&lt;1,Y25="D'over"),"ok",IF(AND(W26&lt;1,Y25="go"),"ok","check"))</f>
        <v>check</v>
      </c>
      <c r="W25" t="str">
        <f>IF(X24="o2.5",1,IF(X24="O1.5",0,""))</f>
        <v/>
      </c>
      <c r="X25">
        <f>IF(X24="o2.5",1,IF(X24="o1.5",1,IF(X24="don't choose",1,0)))</f>
        <v>0.0</v>
      </c>
      <c r="Y25" t="str">
        <f>IF(AND(X25=AW25,X25=1),"D'over",IF(OR(X25=1,AW25=1),"Add","go"))</f>
        <v>Add</v>
      </c>
      <c r="Z25">
        <f>ABS(Z13)/Z11</f>
        <v>2.675572390069621</v>
      </c>
      <c r="AB25">
        <f>(AB22+AB58)/2</f>
        <v>2.5</v>
      </c>
      <c r="AC25" t="str">
        <f>IF(AH5=7,"draw",IF(AH6=7,"away",IF(AH7=7,"draw",IF(AH8=7,"home",IF(AH9=7,"away",IF(AH10=7,"away",IF(AH11=7,"home",IF(AH12=7,"away",IF(AH13=7,"draw",IF(AH14=7,"home","rountime"))))))))))</f>
        <v>away</v>
      </c>
      <c r="AD25" s="201">
        <v>4.0</v>
      </c>
      <c r="AE25" s="202">
        <f t="shared" si="41"/>
        <v>7.0</v>
      </c>
      <c r="AF25" s="203">
        <v>3.0</v>
      </c>
      <c r="AG25" s="192">
        <f t="shared" si="42"/>
        <v>2.2827220475608723</v>
      </c>
      <c r="AH25" s="204">
        <f t="shared" si="43"/>
        <v>18.0</v>
      </c>
      <c r="AI25" t="str">
        <f>IF(AND(AI22&gt;AI23,AI23=0),"cleared away",IF(AND(AI23&gt;AI22,AI22=0),"cleared Home","doubled"))</f>
        <v>doubled</v>
      </c>
      <c r="AK25">
        <f t="shared" si="173"/>
        <v>0.04628435507343873</v>
      </c>
      <c r="AL25">
        <f t="shared" si="176" ref="AL25:AL28">AQ6</f>
        <v>0.012276626717629902</v>
      </c>
      <c r="AP25">
        <f>IF(AP24&lt;0,-AP24,AP24)</f>
        <v>89.34750248099184</v>
      </c>
      <c r="AV25" t="str">
        <f>IF(OR(AW24="o2.5",AW24="O1.5"),"1","")</f>
        <v/>
      </c>
      <c r="AW25">
        <f>IF(AW24="o2.5",1,IF(AW24="o1.5",1,IF(AW24="don't choose",1,0)))</f>
        <v>1.0</v>
      </c>
      <c r="BA25">
        <f>(BA22+BA58)/2</f>
        <v>2.5</v>
      </c>
      <c r="BB25" t="str">
        <f>IF(BG5=7,"draw",IF(BG6=7,"away",IF(BG7=7,"draw",IF(BG8=7,"home",IF(BG9=7,"away",IF(BG10=7,"away",IF(BG11=7,"home",IF(BG12=7,"away",IF(BG13=7,"draw",IF(BG14=7,"home","rountime"))))))))))</f>
        <v>away</v>
      </c>
      <c r="BC25" s="201">
        <v>4.0</v>
      </c>
      <c r="BD25" s="202" t="s">
        <v>81</v>
      </c>
      <c r="BE25" s="203">
        <v>3.0</v>
      </c>
      <c r="BF25" s="192">
        <f t="shared" si="45"/>
        <v>2.2827220475608723</v>
      </c>
      <c r="BG25" s="204">
        <f t="shared" si="46"/>
        <v>18.0</v>
      </c>
      <c r="BH25" t="str">
        <f>IF(AND(BH22&gt;BH23,BH23=0),"cleared away",IF(AND(BH23&gt;BH22,BH22=0),"cleared Home","doubled"))</f>
        <v>doubled</v>
      </c>
      <c r="BJ25">
        <f t="shared" si="174"/>
        <v>0.04628435507343873</v>
      </c>
      <c r="BK25">
        <f t="shared" si="177" ref="BK25:BK28">BP6</f>
        <v>0.012276626717629902</v>
      </c>
      <c r="BO25">
        <f>IF(BO24&lt;0,-BO24,BO24)</f>
        <v>89.34750248099184</v>
      </c>
      <c r="BU25" t="str">
        <f>IF(OR(BV24="o2.5",BV24="O1.5"),"1","")</f>
        <v/>
      </c>
      <c r="BV25">
        <f>IF(BV24="o2.5",1,IF(BV24="o1.5",1,IF(BV24="don't choose",1,0)))</f>
        <v>1.0</v>
      </c>
      <c r="BW25" t="str">
        <f>IF(AND(BV25=CU25,BV25=1),"D'over",IF(OR(BV25=1,CU25=1),"Add","go"))</f>
        <v>Add</v>
      </c>
      <c r="BZ25">
        <f>(BZ22+BZ58)/2</f>
        <v>2.5</v>
      </c>
      <c r="CA25" t="str">
        <f>IF(CF5=7,"draw",IF(CF6=7,"away",IF(CF7=7,"draw",IF(CF8=7,"home",IF(CF9=7,"away",IF(CF10=7,"away",IF(CF11=7,"home",IF(CF12=7,"away",IF(CF13=7,"draw",IF(CF14=7,"home","rountime"))))))))))</f>
        <v>rountime</v>
      </c>
      <c r="CB25" s="201">
        <v>4.0</v>
      </c>
      <c r="CC25" s="202" t="s">
        <v>81</v>
      </c>
      <c r="CD25" s="203">
        <v>3.0</v>
      </c>
      <c r="CE25" s="192">
        <f t="shared" si="48"/>
        <v>0.13099761879944916</v>
      </c>
      <c r="CF25" s="204">
        <f t="shared" si="49"/>
        <v>23.0</v>
      </c>
      <c r="CG25" t="str">
        <f>IF(AND(CG22&gt;CG23,CG23=0),"cleared away",IF(AND(CG23&gt;CG22,CG22=0),"cleared Home","doubled"))</f>
        <v>doubled</v>
      </c>
      <c r="CN25">
        <f>IF(CN24&lt;0,-CN24,CN24)</f>
        <v>79.67545705822059</v>
      </c>
      <c r="CT25" t="str">
        <f>IF(CU24="o2.5",1,IF(CU24="O1.5",0,""))</f>
        <v/>
      </c>
      <c r="CU25">
        <f>IF(CU24="o2.5",1,IF(CU24="o1.5",1,IF(CU24="don't choose",1,0)))</f>
        <v>0.0</v>
      </c>
      <c r="CY25">
        <f>(CY22+CY58)/2</f>
        <v>0.0</v>
      </c>
      <c r="CZ25" t="e">
        <f>IF(DE5=7,"draw",IF(DE6=7,"away",IF(DE7=7,"draw",IF(DE8=7,"home",IF(DE9=7,"away",IF(DE10=7,"away",IF(DE11=7,"home",IF(DE12=7,"away",IF(DE13=7,"draw",IF(DE14=7,"home","rountime"))))))))))</f>
        <v>#N/A</v>
      </c>
      <c r="DA25" s="201">
        <v>4.0</v>
      </c>
      <c r="DB25" s="202" t="s">
        <v>81</v>
      </c>
      <c r="DC25" s="203">
        <v>3.0</v>
      </c>
      <c r="DD25" s="192" t="e">
        <f t="shared" si="51"/>
        <v>#N/A</v>
      </c>
      <c r="DE25" s="204" t="e">
        <f t="shared" si="52"/>
        <v>#N/A</v>
      </c>
      <c r="DF25" t="str">
        <f>IF(AND(DF22&gt;DF23,DF23=0),"cleared away",IF(AND(DF23&gt;DF22,DF22=0),"cleared Home","doubled"))</f>
        <v>doubled</v>
      </c>
      <c r="DM25" t="e">
        <f>IF(DM24&lt;0,-DM24,DM24)</f>
        <v>#N/A</v>
      </c>
    </row>
    <row r="26" spans="8:8" ht="15.75" customHeight="1">
      <c r="C26" s="223" t="str">
        <f>IF(AND(C23=C24,C24=C25),"equal",IF(C23=C25,"both equal",IF(C23=MAX(C23:C25),"home",IF(C24=MAX(C23:C25),"draw",IF(C25=MAX(C23:C25),"away",IF(OR(C23=C24,C25=C24),"either side","check"))))))</f>
        <v>equal</v>
      </c>
      <c r="D26" t="str">
        <f>IF(I5=8,"draw",IF(I6=8,"away",IF(I7=8,"draw",IF(I8=8,"home",IF(I9=8,"away",IF(I10=8,"away",IF(I11=8,"home",IF(I12=8,"away",IF(I13=8,"draw",IF(I14=8,"home","rountime"))))))))))</f>
        <v>away</v>
      </c>
      <c r="E26" s="201">
        <v>5.0</v>
      </c>
      <c r="F26" s="202" t="s">
        <v>81</v>
      </c>
      <c r="G26" s="203">
        <v>0.0</v>
      </c>
      <c r="H26" s="192">
        <f t="shared" si="38"/>
        <v>0.4015240622544673</v>
      </c>
      <c r="I26" s="204">
        <f t="shared" si="39"/>
        <v>18.0</v>
      </c>
      <c r="J26" t="str">
        <f>IF(J20="yes",_xlfn.TEXTJOIN(", ",TRUE,J24,J25),IF(J20="no",_xlfn.TEXTJOIN(", ",TRUE,J62,J63),IF(J20="equal",_xlfn.TEXTJOIN(", ",TRUE,J24:J25,J62:J63))))</f>
        <v>draw, doubled</v>
      </c>
      <c r="L26">
        <f t="shared" si="172"/>
        <v>0.012195243336380468</v>
      </c>
      <c r="M26">
        <f t="shared" si="175"/>
        <v>0.0027334877945567075</v>
      </c>
      <c r="P26" t="str">
        <f>Sheet3!G40</f>
        <v>home</v>
      </c>
      <c r="W26">
        <f>COUNTIF(X26:AA26,1)</f>
        <v>0.0</v>
      </c>
      <c r="X26" t="str">
        <f>W25</f>
        <v/>
      </c>
      <c r="Y26" t="str">
        <f>AV25</f>
        <v/>
      </c>
      <c r="Z26" t="str">
        <f>BU25</f>
        <v/>
      </c>
      <c r="AA26" t="str">
        <f>CT25</f>
        <v/>
      </c>
      <c r="AB26" s="223" t="str">
        <f>IF(AND(AB23=AB24,AB24=AB25),"equal",IF(AB23=AB25,"both equal",IF(AB23=MAX(AB23:AB25),"home",IF(AB24=MAX(AB23:AB25),"draw",IF(AB25=MAX(AB23:AB25),"away",IF(OR(AB23=AB24,AB25=AB24),"either side","check"))))))</f>
        <v>equal</v>
      </c>
      <c r="AC26" t="str">
        <f>IF(AH5=8,"draw",IF(AH6=8,"away",IF(AH7=8,"draw",IF(AH8=8,"home",IF(AH9=8,"away",IF(AH10=8,"away",IF(AH11=8,"home",IF(AH12=8,"away",IF(AH13=8,"draw",IF(AH14=8,"home","rountime"))))))))))</f>
        <v>home</v>
      </c>
      <c r="AD26" s="201">
        <v>5.0</v>
      </c>
      <c r="AE26" s="202">
        <f t="shared" si="41"/>
        <v>5.0</v>
      </c>
      <c r="AF26" s="203">
        <v>0.0</v>
      </c>
      <c r="AG26" s="192">
        <f t="shared" si="42"/>
        <v>0.5103488202352138</v>
      </c>
      <c r="AH26" s="204">
        <f t="shared" si="43"/>
        <v>31.0</v>
      </c>
      <c r="AI26" t="str">
        <f>IF(AI20="yes",_xlfn.TEXTJOIN(", ",TRUE,AI24,AI25),IF(AI20="no",_xlfn.TEXTJOIN(", ",TRUE,AI62,AI63),IF(AI20="equal",_xlfn.TEXTJOIN(", ",TRUE,AI24:AI25,AI62:AI63))))</f>
        <v>draw, doubled</v>
      </c>
      <c r="AK26">
        <f t="shared" si="173"/>
        <v>0.02602587830283055</v>
      </c>
      <c r="AL26">
        <f t="shared" si="176"/>
        <v>0.027612785565692927</v>
      </c>
      <c r="AO26" t="str">
        <f>Sheet3!O40</f>
        <v>away</v>
      </c>
      <c r="BA26" s="223" t="str">
        <f>IF(AND(BA23=BA24,BA24=BA25),"equal",IF(BA23=BA25,"both equal",IF(BA23=MAX(BA23:BA25),"home",IF(BA24=MAX(BA23:BA25),"draw",IF(BA25=MAX(BA23:BA25),"away",IF(OR(BA23=BA24,BA25=BA24),"either side","check"))))))</f>
        <v>equal</v>
      </c>
      <c r="BB26" t="str">
        <f>IF(BG5=8,"draw",IF(BG6=8,"away",IF(BG7=8,"draw",IF(BG8=8,"home",IF(BG9=8,"away",IF(BG10=8,"away",IF(BG11=8,"home",IF(BG12=8,"away",IF(BG13=8,"draw",IF(BG14=8,"home","rountime"))))))))))</f>
        <v>home</v>
      </c>
      <c r="BC26" s="201">
        <v>5.0</v>
      </c>
      <c r="BD26" s="202" t="s">
        <v>81</v>
      </c>
      <c r="BE26" s="203">
        <v>0.0</v>
      </c>
      <c r="BF26" s="192">
        <f t="shared" si="45"/>
        <v>0.5103488202352138</v>
      </c>
      <c r="BG26" s="204">
        <f t="shared" si="46"/>
        <v>31.0</v>
      </c>
      <c r="BH26" t="str">
        <f>IF(BH20="yes",_xlfn.TEXTJOIN(", ",TRUE,BH24,BH25),IF(BH20="no",_xlfn.TEXTJOIN(", ",TRUE,BH62,BH63),IF(BH20="equal",_xlfn.TEXTJOIN(", ",TRUE,BH24:BH25,BH62:BH63))))</f>
        <v>draw, doubled</v>
      </c>
      <c r="BJ26">
        <f t="shared" si="174"/>
        <v>0.02602587830283055</v>
      </c>
      <c r="BK26">
        <f t="shared" si="177"/>
        <v>0.027612785565692927</v>
      </c>
      <c r="BN26" t="str">
        <f>Sheet3!W40</f>
        <v>away</v>
      </c>
      <c r="BZ26" s="223" t="str">
        <f>IF(AND(BZ23=BZ24,BZ24=BZ25),"equal",IF(BZ23=BZ25,"both equal",IF(BZ23=MAX(BZ23:BZ25),"home",IF(BZ24=MAX(BZ23:BZ25),"draw",IF(BZ25=MAX(BZ23:BZ25),"away",IF(OR(BZ23=BZ24,BZ25=BZ24),"either side","check"))))))</f>
        <v>equal</v>
      </c>
      <c r="CA26" t="str">
        <f>IF(CF5=8,"draw",IF(CF6=8,"away",IF(CF7=8,"draw",IF(CF8=8,"home",IF(CF9=8,"away",IF(CF10=8,"away",IF(CF11=8,"home",IF(CF12=8,"away",IF(CF13=8,"draw",IF(CF14=8,"home","rountime"))))))))))</f>
        <v>away</v>
      </c>
      <c r="CB26" s="201">
        <v>5.0</v>
      </c>
      <c r="CC26" s="202" t="s">
        <v>81</v>
      </c>
      <c r="CD26" s="203">
        <v>0.0</v>
      </c>
      <c r="CE26" s="192">
        <f t="shared" si="48"/>
        <v>0.4015240622544673</v>
      </c>
      <c r="CF26" s="204">
        <f t="shared" si="49"/>
        <v>18.0</v>
      </c>
      <c r="CG26" t="str">
        <f>IF(CG20="yes",_xlfn.TEXTJOIN(", ",TRUE,CG24,CG25),IF(CG20="no",_xlfn.TEXTJOIN(", ",TRUE,CG62,CG63),IF(CG20="equal",_xlfn.TEXTJOIN(", ",TRUE,CG24:CG25,CG62:CG63))))</f>
        <v>draw, doubled</v>
      </c>
      <c r="CM26" t="str">
        <f>Sheet3!AE40</f>
        <v>home</v>
      </c>
      <c r="CY26" s="223" t="str">
        <f>IF(AND(CY23=CY24,CY24=CY25),"equal",IF(CY23=CY25,"both equal",IF(CY23=MAX(CY23:CY25),"home",IF(CY24=MAX(CY23:CY25),"draw",IF(CY25=MAX(CY23:CY25),"away",IF(OR(CY23=CY24,CY25=CY24),"either side","check"))))))</f>
        <v>equal</v>
      </c>
      <c r="CZ26" t="e">
        <f>IF(DE5=8,"draw",IF(DE6=8,"away",IF(DE7=8,"draw",IF(DE8=8,"home",IF(DE9=8,"away",IF(DE10=8,"away",IF(DE11=8,"home",IF(DE12=8,"away",IF(DE13=8,"draw",IF(DE14=8,"home","rountime"))))))))))</f>
        <v>#N/A</v>
      </c>
      <c r="DA26" s="201">
        <v>5.0</v>
      </c>
      <c r="DB26" s="202" t="s">
        <v>81</v>
      </c>
      <c r="DC26" s="203">
        <v>0.0</v>
      </c>
      <c r="DD26" s="192" t="e">
        <f t="shared" si="51"/>
        <v>#N/A</v>
      </c>
      <c r="DE26" s="204" t="e">
        <f t="shared" si="52"/>
        <v>#N/A</v>
      </c>
      <c r="DF26" t="e">
        <f>IF(DF20="yes",_xlfn.TEXTJOIN(", ",TRUE,DF24,DF25),IF(DF20="no",_xlfn.TEXTJOIN(", ",TRUE,DF62,DF63),IF(DF20="equal",_xlfn.TEXTJOIN(", ",TRUE,DF24:DF25,DF62:DF63))))</f>
        <v>#N/A</v>
      </c>
      <c r="DL26" t="e">
        <f>Sheet3!AM40</f>
        <v>#N/A</v>
      </c>
    </row>
    <row r="27" spans="8:8" ht="15.75" customHeight="1">
      <c r="C27">
        <f>ABS(C23-C25)</f>
        <v>0.0</v>
      </c>
      <c r="D27" t="str">
        <f>IF(I5=9,"draw",IF(I6=9,"away",IF(I7=9,"draw",IF(I8=9,"home",IF(I9=9,"away",IF(I10=9,"away",IF(I11=9,"home",IF(I12=9,"away",IF(I13=9,"draw",IF(I14=9,"home","rountime"))))))))))</f>
        <v>home</v>
      </c>
      <c r="E27" s="201">
        <v>5.0</v>
      </c>
      <c r="F27" s="202" t="s">
        <v>81</v>
      </c>
      <c r="G27" s="203">
        <v>2.0</v>
      </c>
      <c r="H27" s="192">
        <f t="shared" si="38"/>
        <v>0.12939150436409802</v>
      </c>
      <c r="I27" s="204">
        <f t="shared" si="39"/>
        <v>24.0</v>
      </c>
      <c r="J27">
        <f>COUNTIF(J10:J13,0)</f>
        <v>0.0</v>
      </c>
      <c r="L27">
        <f t="shared" si="172"/>
        <v>0.0032234702559040085</v>
      </c>
      <c r="M27">
        <f t="shared" si="175"/>
        <v>0.0018063019239527075</v>
      </c>
      <c r="O27">
        <f>MAX(Q28,Q29)</f>
        <v>0.2165162678543</v>
      </c>
      <c r="P27">
        <f t="shared" si="178" ref="P27:Q27">Q14-Q52</f>
        <v>0.2165162678543</v>
      </c>
      <c r="Q27">
        <f t="shared" si="178"/>
        <v>-0.07225464301108997</v>
      </c>
      <c r="R27">
        <f>IF(P27&lt;0,-P27,P27)-IF(Q27&lt;0,-Q27,Q27)</f>
        <v>0.14426162484321</v>
      </c>
      <c r="S27">
        <f>IF(O24="both tabs",ABS(P27)+ABS(Q27),ABS(R27))</f>
        <v>0.28877091086539</v>
      </c>
      <c r="Z27" t="str">
        <f>IF(Y25="D'over","Yes","no")</f>
        <v>no</v>
      </c>
      <c r="AB27">
        <f>ABS(AB23-AB25)</f>
        <v>0.0</v>
      </c>
      <c r="AC27" t="str">
        <f>IF(AH5=9,"draw",IF(AH6=9,"away",IF(AH7=9,"draw",IF(AH8=9,"home",IF(AH9=9,"away",IF(AH10=9,"away",IF(AH11=9,"home",IF(AH12=9,"away",IF(AH13=9,"draw",IF(AH14=9,"home","rountime"))))))))))</f>
        <v>rountime</v>
      </c>
      <c r="AD27" s="201">
        <v>5.0</v>
      </c>
      <c r="AE27" s="202">
        <f t="shared" si="41"/>
        <v>7.0</v>
      </c>
      <c r="AF27" s="203">
        <v>2.0</v>
      </c>
      <c r="AG27" s="192">
        <f t="shared" si="42"/>
        <v>1.3428762983621194</v>
      </c>
      <c r="AH27" s="204">
        <f t="shared" si="43"/>
        <v>22.0</v>
      </c>
      <c r="AI27">
        <f>COUNTIF(AI10:AI13,0)</f>
        <v>1.0</v>
      </c>
      <c r="AK27">
        <f t="shared" si="173"/>
        <v>0.01170756451693467</v>
      </c>
      <c r="AL27">
        <f t="shared" si="176"/>
        <v>0.031053559916503666</v>
      </c>
      <c r="AN27">
        <f>MAX(AP28,AP29)</f>
        <v>0.20465809604114404</v>
      </c>
      <c r="AO27">
        <f t="shared" si="179" ref="AO27:AP27">AP14-AP52</f>
        <v>-0.20465809604114404</v>
      </c>
      <c r="AP27">
        <f t="shared" si="179"/>
        <v>0.057354538816252965</v>
      </c>
      <c r="AQ27">
        <f>IF(AO27&lt;0,-AO27,AO27)-IF(AP27&lt;0,-AP27,AP27)</f>
        <v>0.147303557224891</v>
      </c>
      <c r="AR27">
        <f>IF(AN24="both tabs",ABS(AO27)+ABS(AP27),ABS(AQ27))</f>
        <v>0.262012634857397</v>
      </c>
      <c r="BA27">
        <f>ABS(BA23-BA25)</f>
        <v>0.0</v>
      </c>
      <c r="BB27" t="str">
        <f>IF(BG5=9,"draw",IF(BG6=9,"away",IF(BG7=9,"draw",IF(BG8=9,"home",IF(BG9=9,"away",IF(BG10=9,"away",IF(BG11=9,"home",IF(BG12=9,"away",IF(BG13=9,"draw",IF(BG14=9,"home","rountime"))))))))))</f>
        <v>rountime</v>
      </c>
      <c r="BC27" s="201">
        <v>5.0</v>
      </c>
      <c r="BD27" s="202" t="s">
        <v>81</v>
      </c>
      <c r="BE27" s="203">
        <v>2.0</v>
      </c>
      <c r="BF27" s="192">
        <f t="shared" si="45"/>
        <v>1.3428762983621194</v>
      </c>
      <c r="BG27" s="204">
        <f t="shared" si="46"/>
        <v>22.0</v>
      </c>
      <c r="BH27">
        <f>COUNTIF(BH10:BH13,0)</f>
        <v>1.0</v>
      </c>
      <c r="BJ27">
        <f t="shared" si="174"/>
        <v>0.01170756451693467</v>
      </c>
      <c r="BK27">
        <f t="shared" si="177"/>
        <v>0.031053559916503666</v>
      </c>
      <c r="BM27">
        <f>MAX(BO28,BO29)</f>
        <v>0.20465809604114404</v>
      </c>
      <c r="BN27">
        <f t="shared" si="180" ref="BN27:BO27">BO14-BO52</f>
        <v>-0.20465809604114404</v>
      </c>
      <c r="BO27">
        <f t="shared" si="180"/>
        <v>0.057354538816252965</v>
      </c>
      <c r="BP27">
        <f>IF(BN27&lt;0,-BN27,BN27)-IF(BO27&lt;0,-BO27,BO27)</f>
        <v>0.147303557224891</v>
      </c>
      <c r="BQ27">
        <f>IF(BM24="both tabs",ABS(BN27)+ABS(BO27),ABS(BP27))</f>
        <v>0.262012634857397</v>
      </c>
      <c r="BZ27">
        <f>ABS(BZ23-BZ25)</f>
        <v>0.0</v>
      </c>
      <c r="CA27" t="str">
        <f>IF(CF5=9,"draw",IF(CF6=9,"away",IF(CF7=9,"draw",IF(CF8=9,"home",IF(CF9=9,"away",IF(CF10=9,"away",IF(CF11=9,"home",IF(CF12=9,"away",IF(CF13=9,"draw",IF(CF14=9,"home","rountime"))))))))))</f>
        <v>home</v>
      </c>
      <c r="CB27" s="201">
        <v>5.0</v>
      </c>
      <c r="CC27" s="202" t="s">
        <v>81</v>
      </c>
      <c r="CD27" s="203">
        <v>2.0</v>
      </c>
      <c r="CE27" s="192">
        <f t="shared" si="48"/>
        <v>0.12939150436409802</v>
      </c>
      <c r="CF27" s="204">
        <f t="shared" si="49"/>
        <v>24.0</v>
      </c>
      <c r="CG27">
        <f>COUNTIF(CG10:CG13,0)</f>
        <v>0.0</v>
      </c>
      <c r="CL27">
        <f>MAX(CN28,CN29)</f>
        <v>0.2165162678543</v>
      </c>
      <c r="CM27">
        <f t="shared" si="181" ref="CM27:CN27">CN14-CN52</f>
        <v>0.2165162678543</v>
      </c>
      <c r="CN27">
        <f t="shared" si="181"/>
        <v>-0.07225464301108997</v>
      </c>
      <c r="CO27">
        <f>IF(CM27&lt;0,-CM27,CM27)-IF(CN27&lt;0,-CN27,CN27)</f>
        <v>0.14426162484321</v>
      </c>
      <c r="CP27">
        <f>IF(CL24="both tabs",ABS(CM27)+ABS(CN27),ABS(CO27))</f>
        <v>0.28877091086539</v>
      </c>
      <c r="CY27">
        <f>ABS(CY23-CY25)</f>
        <v>0.0</v>
      </c>
      <c r="CZ27" t="e">
        <f>IF(DE5=9,"draw",IF(DE6=9,"away",IF(DE7=9,"draw",IF(DE8=9,"home",IF(DE9=9,"away",IF(DE10=9,"away",IF(DE11=9,"home",IF(DE12=9,"away",IF(DE13=9,"draw",IF(DE14=9,"home","rountime"))))))))))</f>
        <v>#N/A</v>
      </c>
      <c r="DA27" s="201">
        <v>5.0</v>
      </c>
      <c r="DB27" s="202" t="s">
        <v>81</v>
      </c>
      <c r="DC27" s="203">
        <v>2.0</v>
      </c>
      <c r="DD27" s="192" t="e">
        <f t="shared" si="51"/>
        <v>#N/A</v>
      </c>
      <c r="DE27" s="204" t="e">
        <f t="shared" si="52"/>
        <v>#N/A</v>
      </c>
      <c r="DF27">
        <f>COUNTIF(DF10:DF13,0)</f>
        <v>0.0</v>
      </c>
      <c r="DK27" t="e">
        <f>MAX(DM28,DM29)</f>
        <v>#N/A</v>
      </c>
      <c r="DL27" t="e">
        <f t="shared" si="182" ref="DL27:DM27">DM14-DM52</f>
        <v>#N/A</v>
      </c>
      <c r="DM27" t="e">
        <f t="shared" si="182"/>
        <v>#N/A</v>
      </c>
      <c r="DN27" t="e">
        <f>IF(DL27&lt;0,-DL27,DL27)-IF(DM27&lt;0,-DM27,DM27)</f>
        <v>#N/A</v>
      </c>
      <c r="DO27" t="e">
        <f>IF(DK24="both tabs",ABS(DL27)+ABS(DM27),ABS(DN27))</f>
        <v>#N/A</v>
      </c>
    </row>
    <row r="28" spans="8:8" ht="15.75" customHeight="1">
      <c r="C28" t="str">
        <f>IF(C27&gt;1.4,"high",IF(C27&gt;0.2,"low","medium"))</f>
        <v>medium</v>
      </c>
      <c r="D28" t="str">
        <f>IF(I5=10,"draw",IF(I6=10,"away",IF(I7=10,"draw",IF(I8=10,"home",IF(I9=10,"away",IF(I10=10,"away",IF(I11=10,"home",IF(I12=10,"away",IF(I13=10,"draw",IF(I14=10,"home","rountime"))))))))))</f>
        <v>draw</v>
      </c>
      <c r="E28" s="201">
        <v>3.0</v>
      </c>
      <c r="F28" s="202" t="s">
        <v>81</v>
      </c>
      <c r="G28" s="203">
        <v>5.0</v>
      </c>
      <c r="H28" s="192">
        <f t="shared" si="38"/>
        <v>0.012776572899740298</v>
      </c>
      <c r="I28" s="204">
        <f t="shared" si="39"/>
        <v>29.0</v>
      </c>
      <c r="J28" t="str">
        <f>IF(AND(K14="o2.5",K52="o2.5"),"o2.5",IF(AND(K52="o2.5",K14="u4.5"),"Rtu3.5",IF(AND(K14="o2.5",K52="u4.5"),"Rtu3.5",IF(AND(K52="u2.5",K14="u2.5"),"u2.5",IF(AND(K14="u4.5",K52="u4.5"),"u2.5+",IF(AND(K14="u4.5",K52="u2.5"),"u3.5",IF(AND(K52="u4.5",K14="u2.5"),"u3.5","check")))))))</f>
        <v>check</v>
      </c>
      <c r="L28">
        <f t="shared" si="183" ref="L28:L30">P9</f>
        <v>0.014815944947207482</v>
      </c>
      <c r="M28">
        <f t="shared" si="175"/>
        <v>7.957420179382637E-4</v>
      </c>
      <c r="O28" t="str">
        <f>IF(Sheet3!D8="Tab1 ",Check!G7,N24)</f>
        <v>HOME</v>
      </c>
      <c r="P28" t="str">
        <f>IF(AND(P27&gt;0,Q27&lt;0),"Home win",IF(AND(P27&gt;0,Q27&gt;0,P27&gt;Q27),"home win",IF(AND(P27&lt;0,Q27&gt;0),"Away win","Draw")))</f>
        <v>Home win</v>
      </c>
      <c r="Q28">
        <f>IF(P27&lt;0,-P27,P27)</f>
        <v>0.2165162678543</v>
      </c>
      <c r="R28">
        <f>AVERAGE(Q28,Q29)</f>
        <v>0.144385455432695</v>
      </c>
      <c r="S28">
        <f>R28+R29</f>
        <v>0.14450928602217997</v>
      </c>
      <c r="AB28" t="str">
        <f>IF(AB27&gt;1.4,"high",IF(AB27&gt;0.2,"low","medium"))</f>
        <v>medium</v>
      </c>
      <c r="AC28" t="str">
        <f>IF(AH5=10,"draw",IF(AH6=10,"away",IF(AH7=10,"draw",IF(AH8=10,"home",IF(AH9=10,"away",IF(AH10=10,"away",IF(AH11=10,"home",IF(AH12=10,"away",IF(AH13=10,"draw",IF(AH14=10,"home","rountime"))))))))))</f>
        <v>rountime</v>
      </c>
      <c r="AD28" s="201">
        <v>3.0</v>
      </c>
      <c r="AE28" s="202">
        <f t="shared" si="41"/>
        <v>8.0</v>
      </c>
      <c r="AF28" s="203">
        <v>5.0</v>
      </c>
      <c r="AG28" s="192">
        <f t="shared" si="42"/>
        <v>1.068195511826533</v>
      </c>
      <c r="AH28" s="204">
        <f t="shared" si="43"/>
        <v>26.0</v>
      </c>
      <c r="AI28" t="str">
        <f>IF(AND(AJ14="o2.5",AJ52="o2.5"),"o2.5",IF(AND(AJ52="o2.5",AJ14="u4.5"),"Rtu3.5",IF(AND(AJ14="o2.5",AJ52="u4.5"),"Rtu3.5",IF(AND(AJ52="u2.5",AJ14="u2.5"),"u2.5",IF(AND(AJ14="u4.5",AJ52="u4.5"),"u2.5+",IF(AND(AJ14="u4.5",AJ52="u2.5"),"u3.5",IF(AND(AJ52="u4.5",AJ14="u2.5"),"u3.5","check")))))))</f>
        <v>check</v>
      </c>
      <c r="AK28">
        <f t="shared" si="184" ref="AK28:AK30">AO9</f>
        <v>0.05308889250466489</v>
      </c>
      <c r="AL28">
        <f t="shared" si="176"/>
        <v>0.023282054882237634</v>
      </c>
      <c r="AN28" t="str">
        <f>IF(Sheet3!L8="Tab1 ",Check!O7,AM24)</f>
        <v>away</v>
      </c>
      <c r="AO28" t="str">
        <f>IF(AND(AO27&gt;0,AP27&lt;0),"Home win",IF(AND(AO27&gt;0,AP27&gt;0,AO27&gt;AP27),"home win",IF(AND(AO27&lt;0,AP27&gt;0),"Away win","Draw")))</f>
        <v>Away win</v>
      </c>
      <c r="AP28">
        <f>IF(AO27&lt;0,-AO27,AO27)</f>
        <v>0.20465809604114404</v>
      </c>
      <c r="AQ28">
        <f>AVERAGE(AP28,AP29)</f>
        <v>0.1310063174286985</v>
      </c>
      <c r="AR28">
        <f>AQ28+AQ29</f>
        <v>0.1473035572248915</v>
      </c>
      <c r="BA28" t="str">
        <f>IF(BA27&gt;1.4,"high",IF(BA27&gt;0.2,"low","medium"))</f>
        <v>medium</v>
      </c>
      <c r="BB28" t="str">
        <f>IF(BG5=10,"draw",IF(BG6=10,"away",IF(BG7=10,"draw",IF(BG8=10,"home",IF(BG9=10,"away",IF(BG10=10,"away",IF(BG11=10,"home",IF(BG12=10,"away",IF(BG13=10,"draw",IF(BG14=10,"home","rountime"))))))))))</f>
        <v>rountime</v>
      </c>
      <c r="BC28" s="201">
        <v>3.0</v>
      </c>
      <c r="BD28" s="202" t="s">
        <v>81</v>
      </c>
      <c r="BE28" s="203">
        <v>5.0</v>
      </c>
      <c r="BF28" s="192">
        <f t="shared" si="45"/>
        <v>1.068195511826533</v>
      </c>
      <c r="BG28" s="204">
        <f t="shared" si="46"/>
        <v>26.0</v>
      </c>
      <c r="BH28" t="str">
        <f>IF(AND(BI14="o2.5",BI52="o2.5"),"o2.5",IF(AND(BI52="o2.5",BI14="u4.5"),"Rtu3.5",IF(AND(BI14="o2.5",BI52="u4.5"),"Rtu3.5",IF(AND(BI52="u2.5",BI14="u2.5"),"u2.5",IF(AND(BI14="u4.5",BI52="u4.5"),"u2.5+",IF(AND(BI14="u4.5",BI52="u2.5"),"u3.5",IF(AND(BI52="u4.5",BI14="u2.5"),"u3.5","check")))))))</f>
        <v>check</v>
      </c>
      <c r="BJ28">
        <f t="shared" si="185" ref="BJ28:BJ30">BN9</f>
        <v>0.05308889250466489</v>
      </c>
      <c r="BK28">
        <f t="shared" si="177"/>
        <v>0.023282054882237634</v>
      </c>
      <c r="BM28" t="str">
        <f>IF(Sheet3!T8="Tab1 ",Check!W7,BL24)</f>
        <v>away</v>
      </c>
      <c r="BN28" t="str">
        <f>IF(AND(BN27&gt;0,BO27&lt;0),"Home win",IF(AND(BN27&gt;0,BO27&gt;0,BN27&gt;BO27),"home win",IF(AND(BN27&lt;0,BO27&gt;0),"Away win","Draw")))</f>
        <v>Away win</v>
      </c>
      <c r="BO28">
        <f>IF(BN27&lt;0,-BN27,BN27)</f>
        <v>0.20465809604114404</v>
      </c>
      <c r="BP28">
        <f>AVERAGE(BO28,BO29)</f>
        <v>0.1310063174286985</v>
      </c>
      <c r="BQ28">
        <f>BP28+BP29</f>
        <v>0.1473035572248915</v>
      </c>
      <c r="BZ28" t="str">
        <f>IF(BZ27&gt;1.4,"high",IF(BZ27&gt;0.2,"low","medium"))</f>
        <v>medium</v>
      </c>
      <c r="CA28" t="str">
        <f>IF(CF5=10,"draw",IF(CF6=10,"away",IF(CF7=10,"draw",IF(CF8=10,"home",IF(CF9=10,"away",IF(CF10=10,"away",IF(CF11=10,"home",IF(CF12=10,"away",IF(CF13=10,"draw",IF(CF14=10,"home","rountime"))))))))))</f>
        <v>draw</v>
      </c>
      <c r="CB28" s="201">
        <v>3.0</v>
      </c>
      <c r="CC28" s="202" t="s">
        <v>81</v>
      </c>
      <c r="CD28" s="203">
        <v>5.0</v>
      </c>
      <c r="CE28" s="192">
        <f t="shared" si="48"/>
        <v>0.012776572899740298</v>
      </c>
      <c r="CF28" s="204">
        <f t="shared" si="49"/>
        <v>29.0</v>
      </c>
      <c r="CG28" t="str">
        <f>IF(AND(CH14="o2.5",CH52="o2.5"),"o2.5",IF(AND(CH52="o2.5",CH14="u4.5"),"Rtu3.5",IF(AND(CH14="o2.5",CH52="u4.5"),"Rtu3.5",IF(AND(CH52="u2.5",CH14="u2.5"),"u2.5",IF(AND(CH14="u4.5",CH52="u4.5"),"u2.5+",IF(AND(CH14="u4.5",CH52="u2.5"),"u3.5",IF(AND(CH52="u4.5",CH14="u2.5"),"u3.5","check")))))))</f>
        <v>check</v>
      </c>
      <c r="CL28" t="str">
        <f>IF(Sheet3!AB8="Tab1 ",Check!AE7,CK24)</f>
        <v>HOME</v>
      </c>
      <c r="CM28" t="str">
        <f>IF(AND(CM27&gt;0,CN27&lt;0),"Home win",IF(AND(CM27&gt;0,CN27&gt;0,CM27&gt;CN27),"home win",IF(AND(CM27&lt;0,CN27&gt;0),"Away win","Draw")))</f>
        <v>Home win</v>
      </c>
      <c r="CN28">
        <f>IF(CM27&lt;0,-CM27,CM27)</f>
        <v>0.2165162678543</v>
      </c>
      <c r="CO28">
        <f>AVERAGE(CN28,CN29)</f>
        <v>0.144385455432695</v>
      </c>
      <c r="CP28">
        <f>CO28+CO29</f>
        <v>0.14450928602217997</v>
      </c>
      <c r="CY28" t="str">
        <f>IF(CY27&gt;1.4,"high",IF(CY27&gt;0.2,"low","medium"))</f>
        <v>medium</v>
      </c>
      <c r="CZ28" t="e">
        <f>IF(DE5=10,"draw",IF(DE6=10,"away",IF(DE7=10,"draw",IF(DE8=10,"home",IF(DE9=10,"away",IF(DE10=10,"away",IF(DE11=10,"home",IF(DE12=10,"away",IF(DE13=10,"draw",IF(DE14=10,"home","rountime"))))))))))</f>
        <v>#N/A</v>
      </c>
      <c r="DA28" s="201">
        <v>3.0</v>
      </c>
      <c r="DB28" s="202" t="s">
        <v>81</v>
      </c>
      <c r="DC28" s="203">
        <v>5.0</v>
      </c>
      <c r="DD28" s="192" t="e">
        <f t="shared" si="51"/>
        <v>#N/A</v>
      </c>
      <c r="DE28" s="204" t="e">
        <f t="shared" si="52"/>
        <v>#N/A</v>
      </c>
      <c r="DF28" t="str">
        <f>IF(AND(DG14="o2.5",DG52="o2.5"),"o2.5",IF(AND(DG52="o2.5",DG14="u4.5"),"Rtu3.5",IF(AND(DG14="o2.5",DG52="u4.5"),"Rtu3.5",IF(AND(DG52="u2.5",DG14="u2.5"),"u2.5",IF(AND(DG14="u4.5",DG52="u4.5"),"u2.5+",IF(AND(DG14="u4.5",DG52="u2.5"),"u3.5",IF(AND(DG52="u4.5",DG14="u2.5"),"u3.5","check")))))))</f>
        <v>u2.5+</v>
      </c>
      <c r="DK28" t="e">
        <f>IF(Sheet3!AJ8="Tab1 ",Check!AM7,DJ24)</f>
        <v>#N/A</v>
      </c>
      <c r="DL28" t="e">
        <f>IF(AND(DL27&gt;0,DM27&lt;0),"Home win",IF(AND(DL27&gt;0,DM27&gt;0,DL27&gt;DM27),"home win",IF(AND(DL27&lt;0,DM27&gt;0),"Away win","Draw")))</f>
        <v>#N/A</v>
      </c>
      <c r="DM28" t="e">
        <f>IF(DL27&lt;0,-DL27,DL27)</f>
        <v>#N/A</v>
      </c>
      <c r="DN28" t="e">
        <f>AVERAGE(DM28,DM29)</f>
        <v>#N/A</v>
      </c>
      <c r="DO28" t="e">
        <f>DN28+DN29</f>
        <v>#N/A</v>
      </c>
    </row>
    <row r="29" spans="8:8" ht="15.75" customHeight="1">
      <c r="C29">
        <f>C23/(C23+C24+C25)*100</f>
        <v>33.33333333333333</v>
      </c>
      <c r="D29">
        <f>C24/(C23+C24+C25)*100</f>
        <v>33.33333333333333</v>
      </c>
      <c r="E29" s="201">
        <v>4.0</v>
      </c>
      <c r="F29" s="202" t="s">
        <v>81</v>
      </c>
      <c r="G29" s="203">
        <v>4.0</v>
      </c>
      <c r="H29" s="192">
        <f t="shared" si="38"/>
        <v>0.02629150824880473</v>
      </c>
      <c r="I29" s="204">
        <f t="shared" si="39"/>
        <v>28.0</v>
      </c>
      <c r="L29">
        <f t="shared" si="183"/>
        <v>0.004895223954650633</v>
      </c>
      <c r="M29">
        <f t="shared" si="186" ref="M29:M33">S6</f>
        <v>3.320901728725645E-4</v>
      </c>
      <c r="O29" t="b">
        <f>IF(AND(P26="away",OR(R29&gt;0.7,R29&lt;-0.1),O24="Both Tabs"),"away",IF(AND(P26="home",OR(R29&gt;0.7,R29&lt;-0.1),O24="Both Tabs"),"home"))</f>
        <v>0</v>
      </c>
      <c r="P29">
        <f>IF(P28="home win",IF(R27&lt;0,-R27,R27),IF(P28="draw",IF(R27&lt;0,-R27,R27),IF(P28="away win",IF(R27&lt;0,-R27,R27))))</f>
        <v>0.14426162484321</v>
      </c>
      <c r="Q29">
        <f>IF(Q27&lt;0,-Q27,Q27)</f>
        <v>0.07225464301108997</v>
      </c>
      <c r="R29">
        <f>ABS(R28-P29)</f>
        <v>1.2383058948498005E-4</v>
      </c>
      <c r="S29">
        <f>S27/R29</f>
        <v>2331.9836565941264</v>
      </c>
      <c r="AB29">
        <f>AB23/(AB23+AB24+AB25)*100</f>
        <v>33.33333333333333</v>
      </c>
      <c r="AC29">
        <f>AB24/(AB23+AB24+AB25)*100</f>
        <v>33.33333333333333</v>
      </c>
      <c r="AD29" s="201">
        <v>4.0</v>
      </c>
      <c r="AE29" s="202">
        <f t="shared" si="41"/>
        <v>8.0</v>
      </c>
      <c r="AF29" s="203">
        <v>4.0</v>
      </c>
      <c r="AG29" s="192">
        <f t="shared" si="42"/>
        <v>1.3091592743239235</v>
      </c>
      <c r="AH29" s="204">
        <f t="shared" si="43"/>
        <v>23.0</v>
      </c>
      <c r="AK29">
        <f t="shared" si="184"/>
        <v>0.029852096963783152</v>
      </c>
      <c r="AL29">
        <f t="shared" si="187" ref="AL29:AL33">AR6</f>
        <v>0.005632594556826161</v>
      </c>
      <c r="AN29" t="b">
        <f>IF(AND(AO26="away",OR(AQ29&gt;0.7,AQ29&lt;-0.1),AN24="Both Tabs"),"away",IF(AND(AO26="home",OR(AQ29&gt;0.7,AQ29&lt;-0.1),AN24="Both Tabs"),"home"))</f>
        <v>0</v>
      </c>
      <c r="AO29">
        <f>IF(AO28="home win",IF(AQ27&lt;0,-AQ27,AQ27),IF(AO28="draw",IF(AQ27&lt;0,-AQ27,AQ27),IF(AO28="away win",IF(AQ27&lt;0,-AQ27,AQ27))))</f>
        <v>0.147303557224891</v>
      </c>
      <c r="AP29">
        <f>IF(AP27&lt;0,-AP27,AP27)</f>
        <v>0.057354538816252965</v>
      </c>
      <c r="AQ29">
        <f>ABS(AQ28-AO29)</f>
        <v>0.016297239796192492</v>
      </c>
      <c r="AR29">
        <f>AR27/AQ29</f>
        <v>16.07711723789023</v>
      </c>
      <c r="BA29">
        <f>BA23/(BA23+BA24+BA25)*100</f>
        <v>33.33333333333333</v>
      </c>
      <c r="BB29">
        <f>BA24/(BA23+BA24+BA25)*100</f>
        <v>33.33333333333333</v>
      </c>
      <c r="BC29" s="201">
        <v>4.0</v>
      </c>
      <c r="BD29" s="202" t="s">
        <v>81</v>
      </c>
      <c r="BE29" s="203">
        <v>4.0</v>
      </c>
      <c r="BF29" s="192">
        <f t="shared" si="45"/>
        <v>1.3091592743239235</v>
      </c>
      <c r="BG29" s="204">
        <f t="shared" si="46"/>
        <v>23.0</v>
      </c>
      <c r="BJ29">
        <f t="shared" si="185"/>
        <v>0.029852096963783152</v>
      </c>
      <c r="BK29">
        <f t="shared" si="188" ref="BK29:BK33">BQ6</f>
        <v>0.005632594556826161</v>
      </c>
      <c r="BM29" t="b">
        <f>IF(AND(BN26="away",OR(BP29&gt;0.7,BP29&lt;-0.1),BM24="Both Tabs"),"away",IF(AND(BN26="home",OR(BP29&gt;0.7,BP29&lt;-0.1),BM24="Both Tabs"),"home"))</f>
        <v>0</v>
      </c>
      <c r="BN29">
        <f>IF(BN28="home win",IF(BP27&lt;0,-BP27,BP27),IF(BN28="draw",IF(BP27&lt;0,-BP27,BP27),IF(BN28="away win",IF(BP27&lt;0,-BP27,BP27))))</f>
        <v>0.147303557224891</v>
      </c>
      <c r="BO29">
        <f>IF(BO27&lt;0,-BO27,BO27)</f>
        <v>0.057354538816252965</v>
      </c>
      <c r="BP29">
        <f>ABS(BP28-BN29)</f>
        <v>0.016297239796192492</v>
      </c>
      <c r="BQ29">
        <f>BQ27/BP29</f>
        <v>16.07711723789023</v>
      </c>
      <c r="BZ29">
        <f>BZ23/(BZ23+BZ24+BZ25)*100</f>
        <v>33.33333333333333</v>
      </c>
      <c r="CA29" s="224">
        <f>BZ24/(BZ23+BZ24+BZ25)*100</f>
        <v>33.33333333333333</v>
      </c>
      <c r="CB29" s="201">
        <v>4.0</v>
      </c>
      <c r="CC29" s="202" t="s">
        <v>81</v>
      </c>
      <c r="CD29" s="203">
        <v>4.0</v>
      </c>
      <c r="CE29" s="192">
        <f t="shared" si="48"/>
        <v>0.02629150824880473</v>
      </c>
      <c r="CF29" s="204">
        <f t="shared" si="49"/>
        <v>28.0</v>
      </c>
      <c r="CL29" t="b">
        <f>IF(AND(CM26="away",OR(CO29&gt;0.7,CO29&lt;-0.1),CL24="Both Tabs"),"away",IF(AND(CM26="home",OR(CO29&gt;0.7,CO29&lt;-0.1),CL24="Both Tabs"),"home"))</f>
        <v>0</v>
      </c>
      <c r="CM29">
        <f>IF(CM28="home win",IF(CO27&lt;0,-CO27,CO27),IF(CM28="draw",IF(CO27&lt;0,-CO27,CO27),IF(CM28="away win",IF(CO27&lt;0,-CO27,CO27))))</f>
        <v>0.14426162484321</v>
      </c>
      <c r="CN29">
        <f>IF(CN27&lt;0,-CN27,CN27)</f>
        <v>0.07225464301108997</v>
      </c>
      <c r="CO29">
        <f>ABS(CO28-CM29)</f>
        <v>1.2383058948498005E-4</v>
      </c>
      <c r="CP29">
        <f>CP27/CO29</f>
        <v>2331.9836565941264</v>
      </c>
      <c r="CY29" t="e">
        <f>CY23/(CY23+CY24+CY25)*100</f>
        <v>#DIV/0!</v>
      </c>
      <c r="CZ29" t="e">
        <f>CY24/(CY23+CY24+CY25)*100</f>
        <v>#DIV/0!</v>
      </c>
      <c r="DA29" s="201">
        <v>4.0</v>
      </c>
      <c r="DB29" s="202" t="s">
        <v>81</v>
      </c>
      <c r="DC29" s="203">
        <v>4.0</v>
      </c>
      <c r="DD29" s="192" t="e">
        <f t="shared" si="51"/>
        <v>#N/A</v>
      </c>
      <c r="DE29" s="204" t="e">
        <f t="shared" si="52"/>
        <v>#N/A</v>
      </c>
      <c r="DK29" t="e">
        <f>IF(AND(DL26="away",OR(DN29&gt;0.7,DN29&lt;-0.1),DK24="Both Tabs"),"away",IF(AND(DL26="home",OR(DN29&gt;0.7,DN29&lt;-0.1),DK24="Both Tabs"),"home"))</f>
        <v>#N/A</v>
      </c>
      <c r="DL29" t="e">
        <f>IF(DL28="home win",IF(DN27&lt;0,-DN27,DN27),IF(DL28="draw",IF(DN27&lt;0,-DN27,DN27),IF(DL28="away win",IF(DN27&lt;0,-DN27,DN27))))</f>
        <v>#N/A</v>
      </c>
      <c r="DM29" t="e">
        <f>IF(DM27&lt;0,-DM27,DM27)</f>
        <v>#N/A</v>
      </c>
      <c r="DN29" t="e">
        <f>ABS(DN28-DL29)</f>
        <v>#N/A</v>
      </c>
      <c r="DO29" t="e">
        <f>DO27/DN29</f>
        <v>#N/A</v>
      </c>
    </row>
    <row r="30" spans="8:8" ht="18.0" customHeight="1">
      <c r="C30">
        <f>C25/(C23+C24+C25)*100</f>
        <v>33.33333333333333</v>
      </c>
      <c r="D30" t="str">
        <f>IF(AND(C29=D29,D29=C30),"all equal",IF(C29=C30,"both equal",IF(OR(C29=D29,C30=D29),"equal",IF(C29=MAX(C29,C30),"home","away"))))</f>
        <v>all equal</v>
      </c>
      <c r="E30" s="201">
        <v>5.0</v>
      </c>
      <c r="F30" s="202" t="s">
        <v>81</v>
      </c>
      <c r="G30" s="203">
        <v>3.0</v>
      </c>
      <c r="H30" s="192">
        <f t="shared" si="38"/>
        <v>0.03462554343090331</v>
      </c>
      <c r="I30" s="204">
        <f t="shared" si="39"/>
        <v>26.0</v>
      </c>
      <c r="K30" s="225"/>
      <c r="L30" s="225">
        <f t="shared" si="183"/>
        <v>0.0012939150436409802</v>
      </c>
      <c r="M30">
        <f t="shared" si="186"/>
        <v>4.3889357719468407E-4</v>
      </c>
      <c r="O30" t="str">
        <f>IF(AND(O28="away",P28="away win",R30="D"),"ignore",IF(AND(O28="home",P28="home win",R30="D"),"ignore",IF(AND(O28="away",P28="away win",R30="B"),"Awin",IF(AND(O28="away",P28="away win",R30="B1"),"double away",IF(AND(O28="home",P28="home win",R30="B")," double home",IF(AND(O28="home",P28="home win",R30="B1"),"Hwin",IF(AND(O28="away",P28="away win",R30="A"),"Awin",IF(AND(O28="away",P28="away win",R30="A1"),"double away",IF(AND(O28="home",P28="home win",R30="A1"),"Hwin",IF(AND(O28="home",P28="home win",R30="A")," double home",IF(AND(O28="home",P28="draw",R30="d"),"ignore",IF(AND(O28="home",P28="draw",R30="B"),"double home",IF(AND(O28="home",P28="draw",R30="A"),"double home",IF(AND(O28="home",P28="draw",R30="A1"),"2 handicap home",IF(AND(O28="home",P28="draw",R30="B1"),"2 handicap home",IF(AND(O28="away",P28="draw",R30="d"),"ignore",IF(AND(O28="away",P28="draw",R30="B1"),"double away",IF(AND(O28="away",P28="draw",R30="A1"),"double away",IF(AND(O28="away",P28="draw",R30="B"),"2 HANDICAP AWAY",IF(AND(O28="away",P28="draw",R30="a"),"2 HANDICAP AWAY"))))))))))))))))))))</f>
        <v>ignore</v>
      </c>
      <c r="P30">
        <f>P29-Q30</f>
        <v>0.14413779425372503</v>
      </c>
      <c r="Q30">
        <f>IF(R29&lt;0,-R29,R29)</f>
        <v>1.2383058948498005E-4</v>
      </c>
      <c r="R30" t="str">
        <f>IF(AND(R29&lt;0.5,R29&gt;-0.5),"D",IF(AND(R29&lt;1,R29&gt;0.5),"B",IF(AND(R29&lt;-0.5,R29&gt;-1),"B1",IF(R29&gt;1,"A","A1"))))</f>
        <v>D</v>
      </c>
      <c r="S30">
        <f>S29-S28</f>
        <v>2331.839147308108</v>
      </c>
      <c r="AB30">
        <f>AB25/(AB23+AB24+AB25)*100</f>
        <v>33.33333333333333</v>
      </c>
      <c r="AC30" t="str">
        <f>IF(AND(AB29=AC29,AC29=AB30),"all equal",IF(AB29=AB30,"both equal",IF(OR(AB29=AC29,AB30=AC29),"equal",IF(AB29=MAX(AB29,AB30),"home","away"))))</f>
        <v>all equal</v>
      </c>
      <c r="AD30" s="201">
        <v>5.0</v>
      </c>
      <c r="AE30" s="202">
        <f t="shared" si="41"/>
        <v>8.0</v>
      </c>
      <c r="AF30" s="203">
        <v>3.0</v>
      </c>
      <c r="AG30" s="192">
        <f t="shared" si="42"/>
        <v>1.026867002722499</v>
      </c>
      <c r="AH30" s="204">
        <f t="shared" si="43"/>
        <v>28.0</v>
      </c>
      <c r="AK30">
        <f t="shared" si="184"/>
        <v>0.013428762983621194</v>
      </c>
      <c r="AL30">
        <f t="shared" si="187"/>
        <v>0.012668921948467988</v>
      </c>
      <c r="AN30" t="str">
        <f>IF(AND(AN28="away",AO28="away win",AQ30="D"),"ignore",IF(AND(AN28="home",AO28="home win",AQ30="D"),"ignore",IF(AND(AN28="away",AO28="away win",AQ30="B"),"Awin",IF(AND(AN28="away",AO28="away win",AQ30="B1"),"double away",IF(AND(AN28="home",AO28="home win",AQ30="B")," double home",IF(AND(AN28="home",AO28="home win",AQ30="B1"),"Hwin",IF(AND(AN28="away",AO28="away win",AQ30="A"),"Awin",IF(AND(AN28="away",AO28="away win",AQ30="A1"),"double away",IF(AND(AN28="home",AO28="home win",AQ30="A1"),"Hwin",IF(AND(AN28="home",AO28="home win",AQ30="A")," double home",IF(AND(AN28="home",AO28="draw",AQ30="d"),"ignore",IF(AND(AN28="home",AO28="draw",AQ30="B"),"double home",IF(AND(AN28="home",AO28="draw",AQ30="A"),"double home",IF(AND(AN28="home",AO28="draw",AQ30="A1"),"2 handicap home",IF(AND(AN28="home",AO28="draw",AQ30="B1"),"2 handicap home",IF(AND(AN28="away",AO28="draw",AQ30="d"),"ignore",IF(AND(AN28="away",AO28="draw",AQ30="B1"),"double away",IF(AND(AN28="away",AO28="draw",AQ30="A1"),"double away",IF(AND(AN28="away",AO28="draw",AQ30="B"),"2 HANDICAP AWAY",IF(AND(AN28="away",AO28="draw",AQ30="a"),"2 HANDICAP AWAY"))))))))))))))))))))</f>
        <v>ignore</v>
      </c>
      <c r="AO30">
        <f>AO29-AP30</f>
        <v>0.1310063174286985</v>
      </c>
      <c r="AP30">
        <f>IF(AQ29&lt;0,-AQ29,AQ29)</f>
        <v>0.016297239796192492</v>
      </c>
      <c r="AQ30" t="str">
        <f>IF(AND(AQ29&lt;0.5,AQ29&gt;-0.5),"D",IF(AND(AQ29&lt;1,AQ29&gt;0.5),"B",IF(AND(AQ29&lt;-0.5,AQ29&gt;-1),"B1",IF(AQ29&gt;1,"A","A1"))))</f>
        <v>D</v>
      </c>
      <c r="AR30">
        <f>AR29-AR28</f>
        <v>15.929813680665307</v>
      </c>
      <c r="BA30">
        <f>BA25/(BA23+BA24+BA25)*100</f>
        <v>33.33333333333333</v>
      </c>
      <c r="BB30" t="str">
        <f>IF(AND(BA29=BB29,BB29=BA30),"all equal",IF(BA29=BA30,"both equal",IF(OR(BA29=BB29,BA30=BB29),"equal",IF(BA29=MAX(BA29,BA30),"home","away"))))</f>
        <v>all equal</v>
      </c>
      <c r="BC30" s="201">
        <v>5.0</v>
      </c>
      <c r="BD30" s="202" t="s">
        <v>81</v>
      </c>
      <c r="BE30" s="203">
        <v>3.0</v>
      </c>
      <c r="BF30" s="192">
        <f t="shared" si="45"/>
        <v>1.026867002722499</v>
      </c>
      <c r="BG30" s="204">
        <f t="shared" si="46"/>
        <v>28.0</v>
      </c>
      <c r="BJ30">
        <f t="shared" si="185"/>
        <v>0.013428762983621194</v>
      </c>
      <c r="BK30">
        <f t="shared" si="188"/>
        <v>0.012668921948467988</v>
      </c>
      <c r="BM30" t="str">
        <f>IF(AND(BM28="away",BN28="away win",BP30="D"),"ignore",IF(AND(BM28="home",BN28="home win",BP30="D"),"ignore",IF(AND(BM28="away",BN28="away win",BP30="B"),"Awin",IF(AND(BM28="away",BN28="away win",BP30="B1"),"double away",IF(AND(BM28="home",BN28="home win",BP30="B")," double home",IF(AND(BM28="home",BN28="home win",BP30="B1"),"Hwin",IF(AND(BM28="away",BN28="away win",BP30="A"),"Awin",IF(AND(BM28="away",BN28="away win",BP30="A1"),"double away",IF(AND(BM28="home",BN28="home win",BP30="A1"),"Hwin",IF(AND(BM28="home",BN28="home win",BP30="A")," double home",IF(AND(BM28="home",BN28="draw",BP30="d"),"ignore",IF(AND(BM28="home",BN28="draw",BP30="B"),"double home",IF(AND(BM28="home",BN28="draw",BP30="A"),"double home",IF(AND(BM28="home",BN28="draw",BP30="A1"),"2 handicap home",IF(AND(BM28="home",BN28="draw",BP30="B1"),"2 handicap home",IF(AND(BM28="away",BN28="draw",BP30="d"),"ignore",IF(AND(BM28="away",BN28="draw",BP30="B1"),"double away",IF(AND(BM28="away",BN28="draw",BP30="A1"),"double away",IF(AND(BM28="away",BN28="draw",BP30="B"),"2 HANDICAP AWAY",IF(AND(BM28="away",BN28="draw",BP30="a"),"2 HANDICAP AWAY"))))))))))))))))))))</f>
        <v>ignore</v>
      </c>
      <c r="BN30">
        <f>BN29-BO30</f>
        <v>0.1310063174286985</v>
      </c>
      <c r="BO30">
        <f>IF(BP29&lt;0,-BP29,BP29)</f>
        <v>0.016297239796192492</v>
      </c>
      <c r="BP30" t="str">
        <f>IF(AND(BP29&lt;0.5,BP29&gt;-0.5),"D",IF(AND(BP29&lt;1,BP29&gt;0.5),"B",IF(AND(BP29&lt;-0.5,BP29&gt;-1),"B1",IF(BP29&gt;1,"A","A1"))))</f>
        <v>D</v>
      </c>
      <c r="BQ30">
        <f>BQ29-BQ28</f>
        <v>15.929813680665307</v>
      </c>
      <c r="BZ30" s="224">
        <f>BZ25/(BZ23+BZ24+BZ25)*100</f>
        <v>33.33333333333333</v>
      </c>
      <c r="CA30" t="str">
        <f>IF(AND(BZ29=CA29,CA29=BZ30),"all equal",IF(BZ29=BZ30,"both equal",IF(OR(BZ29=CA29,BZ30=CA29),"equal",IF(BZ29=MAX(BZ29,BZ30),"home","away"))))</f>
        <v>all equal</v>
      </c>
      <c r="CB30" s="201">
        <v>5.0</v>
      </c>
      <c r="CC30" s="202" t="s">
        <v>81</v>
      </c>
      <c r="CD30" s="203">
        <v>3.0</v>
      </c>
      <c r="CE30" s="192">
        <f t="shared" si="48"/>
        <v>0.03462554343090331</v>
      </c>
      <c r="CF30" s="204">
        <f t="shared" si="49"/>
        <v>26.0</v>
      </c>
      <c r="CL30" t="str">
        <f>IF(AND(CL28="away",CM28="away win",CO30="D"),"ignore",IF(AND(CL28="home",CM28="home win",CO30="D"),"ignore",IF(AND(CL28="away",CM28="away win",CO30="B"),"Awin",IF(AND(CL28="away",CM28="away win",CO30="B1"),"double away",IF(AND(CL28="home",CM28="home win",CO30="B")," double home",IF(AND(CL28="home",CM28="home win",CO30="B1"),"Hwin",IF(AND(CL28="away",CM28="away win",CO30="A"),"Awin",IF(AND(CL28="away",CM28="away win",CO30="A1"),"double away",IF(AND(CL28="home",CM28="home win",CO30="A1"),"Hwin",IF(AND(CL28="home",CM28="home win",CO30="A")," double home",IF(AND(CL28="home",CM28="draw",CO30="d"),"ignore",IF(AND(CL28="home",CM28="draw",CO30="B"),"double home",IF(AND(CL28="home",CM28="draw",CO30="A"),"double home",IF(AND(CL28="home",CM28="draw",CO30="A1"),"2 handicap home",IF(AND(CL28="home",CM28="draw",CO30="B1"),"2 handicap home",IF(AND(CL28="away",CM28="draw",CO30="d"),"ignore",IF(AND(CL28="away",CM28="draw",CO30="B1"),"double away",IF(AND(CL28="away",CM28="draw",CO30="A1"),"double away",IF(AND(CL28="away",CM28="draw",CO30="B"),"2 HANDICAP AWAY",IF(AND(CL28="away",CM28="draw",CO30="a"),"2 HANDICAP AWAY"))))))))))))))))))))</f>
        <v>ignore</v>
      </c>
      <c r="CM30">
        <f>CM29-CN30</f>
        <v>0.14413779425372503</v>
      </c>
      <c r="CN30">
        <f>IF(CO29&lt;0,-CO29,CO29)</f>
        <v>1.2383058948498005E-4</v>
      </c>
      <c r="CO30" t="str">
        <f>IF(AND(CO29&lt;0.5,CO29&gt;-0.5),"D",IF(AND(CO29&lt;1,CO29&gt;0.5),"B",IF(AND(CO29&lt;-0.5,CO29&gt;-1),"B1",IF(CO29&gt;1,"A","A1"))))</f>
        <v>D</v>
      </c>
      <c r="CP30">
        <f>CP29-CP28</f>
        <v>2331.839147308108</v>
      </c>
      <c r="CY30" t="e">
        <f>CY25/(CY23+CY24+CY25)*100</f>
        <v>#DIV/0!</v>
      </c>
      <c r="CZ30" t="e">
        <f>IF(AND(CY29=CZ29,CZ29=CY30),"all equal",IF(CY29=CY30,"both equal",IF(OR(CY29=CZ29,CY30=CZ29),"equal",IF(CY29=MAX(CY29,CY30),"home","away"))))</f>
        <v>#DIV/0!</v>
      </c>
      <c r="DA30" s="201">
        <v>5.0</v>
      </c>
      <c r="DB30" s="202" t="s">
        <v>81</v>
      </c>
      <c r="DC30" s="203">
        <v>3.0</v>
      </c>
      <c r="DD30" s="192" t="e">
        <f t="shared" si="51"/>
        <v>#N/A</v>
      </c>
      <c r="DE30" s="204" t="e">
        <f t="shared" si="52"/>
        <v>#N/A</v>
      </c>
      <c r="DK30" t="e">
        <f>IF(AND(DK28="away",DL28="away win",DN30="D"),"ignore",IF(AND(DK28="home",DL28="home win",DN30="D"),"ignore",IF(AND(DK28="away",DL28="away win",DN30="B"),"Awin",IF(AND(DK28="away",DL28="away win",DN30="B1"),"double away",IF(AND(DK28="home",DL28="home win",DN30="B")," double home",IF(AND(DK28="home",DL28="home win",DN30="B1"),"Hwin",IF(AND(DK28="away",DL28="away win",DN30="A"),"Awin",IF(AND(DK28="away",DL28="away win",DN30="A1"),"double away",IF(AND(DK28="home",DL28="home win",DN30="A1"),"Hwin",IF(AND(DK28="home",DL28="home win",DN30="A")," double home",IF(AND(DK28="home",DL28="draw",DN30="d"),"ignore",IF(AND(DK28="home",DL28="draw",DN30="B"),"double home",IF(AND(DK28="home",DL28="draw",DN30="A"),"double home",IF(AND(DK28="home",DL28="draw",DN30="A1"),"2 handicap home",IF(AND(DK28="home",DL28="draw",DN30="B1"),"2 handicap home",IF(AND(DK28="away",DL28="draw",DN30="d"),"ignore",IF(AND(DK28="away",DL28="draw",DN30="B1"),"double away",IF(AND(DK28="away",DL28="draw",DN30="A1"),"double away",IF(AND(DK28="away",DL28="draw",DN30="B"),"2 HANDICAP AWAY",IF(AND(DK28="away",DL28="draw",DN30="a"),"2 HANDICAP AWAY"))))))))))))))))))))</f>
        <v>#N/A</v>
      </c>
      <c r="DL30" t="e">
        <f>DL29-DM30</f>
        <v>#N/A</v>
      </c>
      <c r="DM30" t="e">
        <f>IF(DN29&lt;0,-DN29,DN29)</f>
        <v>#N/A</v>
      </c>
      <c r="DN30" t="e">
        <f>IF(AND(DN29&lt;0.5,DN29&gt;-0.5),"D",IF(AND(DN29&lt;1,DN29&gt;0.5),"B",IF(AND(DN29&lt;-0.5,DN29&gt;-1),"B1",IF(DN29&gt;1,"A","A1"))))</f>
        <v>#N/A</v>
      </c>
      <c r="DO30" t="e">
        <f>DO29-DO28</f>
        <v>#N/A</v>
      </c>
    </row>
    <row r="31" spans="8:8" ht="21.75" customHeight="1">
      <c r="E31" s="201">
        <v>4.0</v>
      </c>
      <c r="F31" s="202" t="s">
        <v>81</v>
      </c>
      <c r="G31" s="203">
        <v>5.0</v>
      </c>
      <c r="H31" s="192">
        <f t="shared" si="38"/>
        <v>0.004221410510096231</v>
      </c>
      <c r="I31" s="204">
        <f t="shared" si="39"/>
        <v>31.0</v>
      </c>
      <c r="K31" s="225"/>
      <c r="L31" s="225">
        <f t="shared" si="189" ref="L31:L32">Q10</f>
        <v>0.0013099761879944915</v>
      </c>
      <c r="M31">
        <f t="shared" si="186"/>
        <v>2.900229935088512E-4</v>
      </c>
      <c r="N31" t="s">
        <v>1324</v>
      </c>
      <c r="P31" t="str">
        <f>IF(AND(R27&lt;0,R29&lt;0,Q32&lt;1.2),"under",IF(Q32&lt;0.35,"u2.5",IF(Q32&lt;0.66,"u 3.5","not visible")))</f>
        <v>u2.5</v>
      </c>
      <c r="Q31">
        <f>MAX(P30,Q30)</f>
        <v>0.14413779425372503</v>
      </c>
      <c r="R31" t="str">
        <f>IF(AND(R27&lt;0,R29&gt;0,Q31=Q30),"over",IF(AND(R27&lt;0,R29&lt;0,Q31=P30),"over +",IF(AND(R27&gt;0,R29&gt;0,P30=Q31),"under","not visible")))</f>
        <v>under</v>
      </c>
      <c r="AD31" s="201">
        <v>4.0</v>
      </c>
      <c r="AE31" s="202">
        <f t="shared" si="41"/>
        <v>9.0</v>
      </c>
      <c r="AF31" s="203">
        <v>5.0</v>
      </c>
      <c r="AG31" s="192">
        <f t="shared" si="42"/>
        <v>0.6006506161815612</v>
      </c>
      <c r="AH31" s="204">
        <f t="shared" si="43"/>
        <v>29.0</v>
      </c>
      <c r="AK31">
        <f t="shared" si="190" ref="AK31:AK32">AP10</f>
        <v>0.022827220475608725</v>
      </c>
      <c r="AL31">
        <f t="shared" si="187"/>
        <v>0.014247571143023377</v>
      </c>
      <c r="AO31" t="str">
        <f>IF(AND(AQ27&lt;0,AQ29&lt;0,AP32&lt;1.2),"under",IF(AP32&lt;0.35,"u2.5",IF(AP32&lt;0.66,"u 3.5","not visible")))</f>
        <v>u2.5</v>
      </c>
      <c r="AP31">
        <f>MAX(AO30,AP30)</f>
        <v>0.1310063174286985</v>
      </c>
      <c r="AQ31" t="str">
        <f>IF(AND(AQ27&lt;0,AQ29&gt;0,AP31=AP30),"over",IF(AND(AQ27&lt;0,AQ29&lt;0,AP31=AO30),"over +",IF(AND(AQ27&gt;0,AQ29&gt;0,AO30=AP31),"under","not visible")))</f>
        <v>under</v>
      </c>
      <c r="BC31" s="201">
        <v>4.0</v>
      </c>
      <c r="BD31" s="202" t="s">
        <v>81</v>
      </c>
      <c r="BE31" s="203">
        <v>5.0</v>
      </c>
      <c r="BF31" s="192">
        <f t="shared" si="45"/>
        <v>0.6006506161815612</v>
      </c>
      <c r="BG31" s="204">
        <f t="shared" si="46"/>
        <v>29.0</v>
      </c>
      <c r="BJ31">
        <f t="shared" si="191" ref="BJ31:BJ32">BO10</f>
        <v>0.022827220475608725</v>
      </c>
      <c r="BK31">
        <f t="shared" si="188"/>
        <v>0.014247571143023377</v>
      </c>
      <c r="BN31" t="str">
        <f>IF(AND(BP27&lt;0,BP29&lt;0,BO32&lt;1.2),"under",IF(BO32&lt;0.35,"u2.5",IF(BO32&lt;0.66,"u 3.5","not visible")))</f>
        <v>u2.5</v>
      </c>
      <c r="BO31">
        <f>MAX(BN30,BO30)</f>
        <v>0.1310063174286985</v>
      </c>
      <c r="BP31" t="str">
        <f>IF(AND(BP27&lt;0,BP29&gt;0,BO31=BO30),"over",IF(AND(BP27&lt;0,BP29&lt;0,BO31=BN30),"over +",IF(AND(BP27&gt;0,BP29&gt;0,BN30=BO31),"under","not visible")))</f>
        <v>under</v>
      </c>
      <c r="CB31" s="201">
        <v>4.0</v>
      </c>
      <c r="CC31" s="202" t="s">
        <v>81</v>
      </c>
      <c r="CD31" s="203">
        <v>5.0</v>
      </c>
      <c r="CE31" s="192">
        <f t="shared" si="48"/>
        <v>0.004221410510096231</v>
      </c>
      <c r="CF31" s="204">
        <f t="shared" si="49"/>
        <v>31.0</v>
      </c>
      <c r="CM31" t="str">
        <f>IF(AND(CO27&lt;0,CO29&lt;0,CN32&lt;1.2),"under",IF(CN32&lt;0.35,"u2.5",IF(CN32&lt;0.66,"u 3.5","not visible")))</f>
        <v>u2.5</v>
      </c>
      <c r="CN31">
        <f>MAX(CM30,CN30)</f>
        <v>0.14413779425372503</v>
      </c>
      <c r="CO31" t="str">
        <f>IF(AND(CO27&lt;0,CO29&gt;0,CN31=CN30),"over",IF(AND(CO27&lt;0,CO29&lt;0,CN31=CM30),"over +",IF(AND(CO27&gt;0,CO29&gt;0,CM30=CN31),"under","not visible")))</f>
        <v>under</v>
      </c>
      <c r="DA31" s="201">
        <v>4.0</v>
      </c>
      <c r="DB31" s="202" t="s">
        <v>81</v>
      </c>
      <c r="DC31" s="203">
        <v>5.0</v>
      </c>
      <c r="DD31" s="192" t="e">
        <f t="shared" si="51"/>
        <v>#N/A</v>
      </c>
      <c r="DE31" s="204" t="e">
        <f t="shared" si="52"/>
        <v>#N/A</v>
      </c>
      <c r="DL31" t="e">
        <f>IF(AND(DN27&lt;0,DN29&lt;0,DM32&lt;1.2),"under",IF(DM32&lt;0.35,"u2.5",IF(DM32&lt;0.66,"u 3.5","not visible")))</f>
        <v>#N/A</v>
      </c>
      <c r="DM31" t="e">
        <f>MAX(DL30,DM30)</f>
        <v>#N/A</v>
      </c>
      <c r="DN31" t="e">
        <f>IF(AND(DN27&lt;0,DN29&gt;0,DM31=DM30),"over",IF(AND(DN27&lt;0,DN29&lt;0,DM31=DL30),"over +",IF(AND(DN27&gt;0,DN29&gt;0,DL30=DM31),"under","not visible")))</f>
        <v>#N/A</v>
      </c>
    </row>
    <row r="32" spans="8:8" ht="15.75" customHeight="1">
      <c r="C32">
        <f>ABS(C29-C30)</f>
        <v>0.0</v>
      </c>
      <c r="D32" t="str">
        <f>IF(AND(C32&lt;12,C32&gt;11),"point","")</f>
        <v/>
      </c>
      <c r="E32" s="201">
        <v>5.0</v>
      </c>
      <c r="F32" s="202" t="s">
        <v>81</v>
      </c>
      <c r="G32" s="203">
        <v>4.0</v>
      </c>
      <c r="H32" s="192">
        <f t="shared" si="38"/>
        <v>0.006949422203823822</v>
      </c>
      <c r="I32" s="204">
        <f t="shared" si="39"/>
        <v>30.0</v>
      </c>
      <c r="L32">
        <f t="shared" si="189"/>
        <v>3.462554343090331E-4</v>
      </c>
      <c r="M32">
        <f t="shared" si="186"/>
        <v>1.2776572899740298E-4</v>
      </c>
      <c r="O32" t="str">
        <f>IF(AND(P27&lt;0,R27&lt;0),"12",IF(AND(P27&lt;0,P30&gt;0,R27&lt;0),"home",IF(AND(P27&lt;0,P30&gt;0,R27&gt;0,Q37+12&gt;R37),"home",IF(AND(P30&lt;0,Q27&lt;0,R27&lt;0),"away",IF(AND(P30&lt;0,P27&lt;0,R27&lt;0),"support home",IF(AND(Q27&lt;0,R27&gt;0,Q37&lt;R37-3),"12",IF(AND(Q27&lt;0,R27&gt;0,R37&lt;Q37),"home double","wait")))))))</f>
        <v>wait</v>
      </c>
      <c r="P32" t="str">
        <f>IF(AND(R28&lt;0.7,Q33&gt;0,Q33&lt;0.5,S28&lt;1,S28&gt;0.15),"u2.5","o 1.5")</f>
        <v>o 1.5</v>
      </c>
      <c r="Q32">
        <f>IF(P30&lt;0,-P30,P30)</f>
        <v>0.14413779425372503</v>
      </c>
      <c r="R32" t="str">
        <f>IF(AND(P32="o 1.5",OR(R31="over",R31="over +")),"o1.5","Under")</f>
        <v>Under</v>
      </c>
      <c r="S32">
        <f>S27/S30</f>
        <v>1.2383826354349923E-4</v>
      </c>
      <c r="AB32">
        <f>ABS(AB29-AB30)</f>
        <v>0.0</v>
      </c>
      <c r="AC32" t="str">
        <f>IF(AND(AB32&lt;12,AB32&gt;11),"point","")</f>
        <v/>
      </c>
      <c r="AD32" s="201">
        <v>5.0</v>
      </c>
      <c r="AE32" s="202">
        <f t="shared" si="41"/>
        <v>9.0</v>
      </c>
      <c r="AF32" s="203">
        <v>4.0</v>
      </c>
      <c r="AG32" s="192">
        <f t="shared" si="42"/>
        <v>0.5889164042323117</v>
      </c>
      <c r="AH32" s="204">
        <f t="shared" si="43"/>
        <v>30.0</v>
      </c>
      <c r="AK32">
        <f t="shared" si="190"/>
        <v>0.010268670027224992</v>
      </c>
      <c r="AL32">
        <f t="shared" si="187"/>
        <v>0.01068195511826533</v>
      </c>
      <c r="AN32" t="str">
        <f>IF(AND(AO27&lt;0,AQ27&lt;0),"12",IF(AND(AO27&lt;0,AO30&gt;0,AQ27&lt;0),"home",IF(AND(AO27&lt;0,AO30&gt;0,AQ27&gt;0,AP37+12&gt;AQ37),"home",IF(AND(AO30&lt;0,AP27&lt;0,AQ27&lt;0),"away",IF(AND(AO30&lt;0,AO27&lt;0,AQ27&lt;0),"support home",IF(AND(AP27&lt;0,AQ27&gt;0,AP37&lt;AQ37-3),"12",IF(AND(AP27&lt;0,AQ27&gt;0,AQ37&lt;AP37),"home double","wait")))))))</f>
        <v>home</v>
      </c>
      <c r="AO32" t="str">
        <f>IF(AND(AQ28&lt;0.7,AP33&gt;0,AP33&lt;0.5,AR28&lt;1,AR28&gt;0.15),"u2.5","o 1.5")</f>
        <v>o 1.5</v>
      </c>
      <c r="AP32">
        <f>IF(AO30&lt;0,-AO30,AO30)</f>
        <v>0.1310063174286985</v>
      </c>
      <c r="AQ32" t="str">
        <f>IF(AND(AO32="o 1.5",OR(AQ31="over",AQ31="over +")),"o1.5","Under")</f>
        <v>Under</v>
      </c>
      <c r="AR32">
        <f>AR27/AR30</f>
        <v>0.01644794095585769</v>
      </c>
      <c r="BA32">
        <f>ABS(BA29-BA30)</f>
        <v>0.0</v>
      </c>
      <c r="BB32" t="str">
        <f>IF(AND(BA32&lt;12,BA32&gt;11),"point","")</f>
        <v/>
      </c>
      <c r="BC32" s="201">
        <v>5.0</v>
      </c>
      <c r="BD32" s="202" t="s">
        <v>81</v>
      </c>
      <c r="BE32" s="203">
        <v>4.0</v>
      </c>
      <c r="BF32" s="192">
        <f t="shared" si="45"/>
        <v>0.5889164042323117</v>
      </c>
      <c r="BG32" s="204">
        <f t="shared" si="46"/>
        <v>30.0</v>
      </c>
      <c r="BJ32">
        <f t="shared" si="191"/>
        <v>0.010268670027224992</v>
      </c>
      <c r="BK32">
        <f t="shared" si="188"/>
        <v>0.01068195511826533</v>
      </c>
      <c r="BM32" t="str">
        <f>IF(AND(BN27&lt;0,BP27&lt;0),"12",IF(AND(BN27&lt;0,BN30&gt;0,BP27&lt;0),"home",IF(AND(BN27&lt;0,BN30&gt;0,BP27&gt;0,BO37+12&gt;BP37),"home",IF(AND(BN30&lt;0,BO27&lt;0,BP27&lt;0),"away",IF(AND(BN30&lt;0,BN27&lt;0,BP27&lt;0),"support home",IF(AND(BO27&lt;0,BP27&gt;0,BO37&lt;BP37-3),"12",IF(AND(BO27&lt;0,BP27&gt;0,BP37&lt;BO37),"home double","wait")))))))</f>
        <v>home</v>
      </c>
      <c r="BN32" t="str">
        <f>IF(AND(BP28&lt;0.7,BO33&gt;0,BO33&lt;0.5,BQ28&lt;1,BQ28&gt;0.15),"u2.5","o 1.5")</f>
        <v>o 1.5</v>
      </c>
      <c r="BO32">
        <f>IF(BN30&lt;0,-BN30,BN30)</f>
        <v>0.1310063174286985</v>
      </c>
      <c r="BP32" t="str">
        <f>IF(AND(BN32="o 1.5",OR(BP31="over",BP31="over +")),"o1.5","Under")</f>
        <v>Under</v>
      </c>
      <c r="BQ32">
        <f>BQ27/BQ30</f>
        <v>0.01644794095585769</v>
      </c>
      <c r="BZ32">
        <f>ABS(BZ29-BZ30)</f>
        <v>0.0</v>
      </c>
      <c r="CA32" t="str">
        <f>IF(AND(BZ32&lt;12,BZ32&gt;11),"point","")</f>
        <v/>
      </c>
      <c r="CB32" s="201">
        <v>5.0</v>
      </c>
      <c r="CC32" s="202" t="s">
        <v>81</v>
      </c>
      <c r="CD32" s="203">
        <v>4.0</v>
      </c>
      <c r="CE32" s="192">
        <f t="shared" si="48"/>
        <v>0.006949422203823822</v>
      </c>
      <c r="CF32" s="204">
        <f t="shared" si="49"/>
        <v>30.0</v>
      </c>
      <c r="CL32" t="str">
        <f>IF(AND(CM27&lt;0,CO27&lt;0),"12",IF(AND(CM27&lt;0,CM30&gt;0,CO27&lt;0),"home",IF(AND(CM27&lt;0,CM30&gt;0,CO27&gt;0,CN37+12&gt;CO37),"home",IF(AND(CM30&lt;0,CN27&lt;0,CO27&lt;0),"away",IF(AND(CM30&lt;0,CM27&lt;0,CO27&lt;0),"support home",IF(AND(CN27&lt;0,CO27&gt;0,CN37&lt;CO37-3),"12",IF(AND(CN27&lt;0,CO27&gt;0,CO37&lt;CN37),"home double","wait")))))))</f>
        <v>wait</v>
      </c>
      <c r="CM32" t="str">
        <f>IF(AND(CO28&lt;0.7,CN33&gt;0,CN33&lt;0.5,CP28&lt;1,CP28&gt;0.15),"u2.5","o 1.5")</f>
        <v>o 1.5</v>
      </c>
      <c r="CN32">
        <f>IF(CM30&lt;0,-CM30,CM30)</f>
        <v>0.14413779425372503</v>
      </c>
      <c r="CO32" t="str">
        <f>IF(AND(CM32="o 1.5",OR(CO31="over",CO31="over +")),"o1.5","Under")</f>
        <v>Under</v>
      </c>
      <c r="CP32">
        <f>CP27/CP30</f>
        <v>1.2383826354349923E-4</v>
      </c>
      <c r="CY32" t="e">
        <f>ABS(CY29-CY30)</f>
        <v>#DIV/0!</v>
      </c>
      <c r="CZ32" t="e">
        <f>IF(AND(CY32&lt;12,CY32&gt;11),"point","")</f>
        <v>#DIV/0!</v>
      </c>
      <c r="DA32" s="201">
        <v>5.0</v>
      </c>
      <c r="DB32" s="202" t="s">
        <v>81</v>
      </c>
      <c r="DC32" s="203">
        <v>4.0</v>
      </c>
      <c r="DD32" s="192" t="e">
        <f t="shared" si="51"/>
        <v>#N/A</v>
      </c>
      <c r="DE32" s="204" t="e">
        <f t="shared" si="52"/>
        <v>#N/A</v>
      </c>
      <c r="DK32" t="e">
        <f>IF(AND(DL27&lt;0,DN27&lt;0),"12",IF(AND(DL27&lt;0,DL30&gt;0,DN27&lt;0),"home",IF(AND(DL27&lt;0,DL30&gt;0,DN27&gt;0,DM37+12&gt;DN37),"home",IF(AND(DL30&lt;0,DM27&lt;0,DN27&lt;0),"away",IF(AND(DL30&lt;0,DL27&lt;0,DN27&lt;0),"support home",IF(AND(DM27&lt;0,DN27&gt;0,DM37&lt;DN37-3),"12",IF(AND(DM27&lt;0,DN27&gt;0,DN37&lt;DM37),"home double","wait")))))))</f>
        <v>#N/A</v>
      </c>
      <c r="DL32" t="e">
        <f>IF(AND(DN28&lt;0.7,DM33&gt;0,DM33&lt;0.5,DO28&lt;1,DO28&gt;0.15),"u2.5","o 1.5")</f>
        <v>#N/A</v>
      </c>
      <c r="DM32" t="e">
        <f>IF(DL30&lt;0,-DL30,DL30)</f>
        <v>#N/A</v>
      </c>
      <c r="DN32" t="e">
        <f>IF(AND(DL32="o 1.5",OR(DN31="over",DN31="over +")),"o1.5","Under")</f>
        <v>#N/A</v>
      </c>
      <c r="DO32" t="e">
        <f>DO27/DO30</f>
        <v>#N/A</v>
      </c>
    </row>
    <row r="33" spans="8:8" ht="15.75" customHeight="1">
      <c r="C33" t="str">
        <f>_xlfn.TEXTJOIN(", ", ,D33,D55)</f>
        <v>no, yes</v>
      </c>
      <c r="D33" t="str">
        <f>IF(OR(C19&gt;D34,C19=D34),"yes","no")</f>
        <v>no</v>
      </c>
      <c r="E33" s="201">
        <v>5.0</v>
      </c>
      <c r="F33" s="202" t="s">
        <v>81</v>
      </c>
      <c r="G33" s="203">
        <v>5.0</v>
      </c>
      <c r="H33" s="192">
        <f t="shared" si="38"/>
        <v>0.0011158113734936331</v>
      </c>
      <c r="I33" s="204">
        <f t="shared" si="39"/>
        <v>32.0</v>
      </c>
      <c r="L33" s="226">
        <f>R11</f>
        <v>6.949422203823821E-5</v>
      </c>
      <c r="M33" s="226">
        <f t="shared" si="186"/>
        <v>4.221410510096231E-5</v>
      </c>
      <c r="O33" t="str">
        <f>IF(AND(O28="away",Q37=7,R27&lt;0),"x2",IF(AND(O28="home",R27&gt;0,Q37=7),"home 2 handicap",IF(AND(O28="home",R27&lt;0,Q37&gt;7),"2handicap for home",IF(AND(O28="away",R27&gt;0,Q37&gt;7),"2handicap home",IF(AND(O28="home",OR(R27&lt;0,R27&gt;0),Q37=7),"2handicap home",O28)))))</f>
        <v>HOME</v>
      </c>
      <c r="P33" t="str">
        <f>IF(AND(O30="ignore",P32="u2.5",P31="u2.5"),"u 3.5",IF(AND(P31="u2.5",P32="u2.5",O30="win"),"u3.5",IF(AND(P31="u2.5",P32="u2.5"),"u2.5",IF(AND(P31="u 3.5",P32="u2.5"),"o1.5",IF(AND(P32="o 1.5",P31="u2.5"),"u3.5",IF(AND(P32="o 1.5",P31="u 3.5"),"u3.5","not available"))))))</f>
        <v>u3.5</v>
      </c>
      <c r="Q33">
        <f>R28-Q32</f>
        <v>2.4766117896998785E-4</v>
      </c>
      <c r="R33">
        <f>Q35+R35</f>
        <v>100.0000184201995</v>
      </c>
      <c r="S33" t="str">
        <f>IF(AND(O24="both tabs",S32&gt;0.4),O28,IF(AND(O24="both tabs",S32&lt;0.4),"2 handicap",IF(AND(O24="one tab",S32&gt;0.02),O28,S36)))</f>
        <v>2 handicap</v>
      </c>
      <c r="AD33" s="201">
        <v>5.0</v>
      </c>
      <c r="AE33" s="202">
        <f t="shared" si="41"/>
        <v>10.0</v>
      </c>
      <c r="AF33" s="203">
        <v>5.0</v>
      </c>
      <c r="AG33" s="192">
        <f t="shared" si="42"/>
        <v>0.2701985984587264</v>
      </c>
      <c r="AH33" s="204">
        <f t="shared" si="43"/>
        <v>32.0</v>
      </c>
      <c r="AK33" s="226">
        <f>AQ11</f>
        <v>0.005889164042323118</v>
      </c>
      <c r="AL33" s="226">
        <f t="shared" si="187"/>
        <v>0.006006506161815612</v>
      </c>
      <c r="AN33" t="str">
        <f>IF(AND(AN28="away",AP37=7,AQ27&lt;0),"x2",IF(AND(AN28="home",AQ27&gt;0,AP37=7),"home 2 handicap",IF(AND(AN28="home",AQ27&lt;0,AP37&gt;7),"2handicap for home",IF(AND(AN28="away",AQ27&gt;0,AP37&gt;7),"2handicap home",IF(AND(AN28="home",OR(AQ27&lt;0,AQ27&gt;0),AP37=7),"2handicap home",AN28)))))</f>
        <v>2handicap home</v>
      </c>
      <c r="AO33" t="str">
        <f>IF(AND(AN30="ignore",AO32="u2.5",AO31="u2.5"),"u 3.5",IF(AND(AO31="u2.5",AO32="u2.5",AN30="win"),"u3.5",IF(AND(AO31="u2.5",AO32="u2.5"),"u2.5",IF(AND(AO31="u 3.5",AO32="u2.5"),"o1.5",IF(AND(AO32="o 1.5",AO31="u2.5"),"u3.5",IF(AND(AO32="o 1.5",AO31="u 3.5"),"u3.5","not available"))))))</f>
        <v>u3.5</v>
      </c>
      <c r="AP33">
        <f>AQ28-AP32</f>
        <v>0.0</v>
      </c>
      <c r="AQ33">
        <f>AP35+AQ35</f>
        <v>105.8557892767828</v>
      </c>
      <c r="AR33" t="str">
        <f>IF(AND(AN24="both tabs",AR32&gt;0.4),AN28,IF(AND(AN24="both tabs",AR32&lt;0.4),"2 handicap",IF(AND(AN24="one tab",AR32&gt;0.02),AN28,AR36)))</f>
        <v>2 handicap</v>
      </c>
      <c r="BC33" s="201">
        <v>5.0</v>
      </c>
      <c r="BD33" s="202" t="s">
        <v>81</v>
      </c>
      <c r="BE33" s="203">
        <v>5.0</v>
      </c>
      <c r="BF33" s="192">
        <f t="shared" si="45"/>
        <v>0.2701985984587264</v>
      </c>
      <c r="BG33" s="204">
        <f t="shared" si="46"/>
        <v>32.0</v>
      </c>
      <c r="BJ33" s="226">
        <f>BP11</f>
        <v>0.005889164042323118</v>
      </c>
      <c r="BK33" s="226">
        <f t="shared" si="188"/>
        <v>0.006006506161815612</v>
      </c>
      <c r="BM33" t="str">
        <f>IF(AND(BM28="away",BO37=7,BP27&lt;0),"x2",IF(AND(BM28="home",BP27&gt;0,BO37=7),"home 2 handicap",IF(AND(BM28="home",BP27&lt;0,BO37&gt;7),"2handicap for home",IF(AND(BM28="away",BP27&gt;0,BO37&gt;7),"2handicap home",IF(AND(BM28="home",OR(BP27&lt;0,BP27&gt;0),BO37=7),"2handicap home",BM28)))))</f>
        <v>2handicap home</v>
      </c>
      <c r="BN33" t="str">
        <f>IF(AND(BM30="ignore",BN32="u2.5",BN31="u2.5"),"u 3.5",IF(AND(BN31="u2.5",BN32="u2.5",BM30="win"),"u3.5",IF(AND(BN31="u2.5",BN32="u2.5"),"u2.5",IF(AND(BN31="u 3.5",BN32="u2.5"),"o1.5",IF(AND(BN32="o 1.5",BN31="u2.5"),"u3.5",IF(AND(BN32="o 1.5",BN31="u 3.5"),"u3.5","not available"))))))</f>
        <v>u3.5</v>
      </c>
      <c r="BO33">
        <f>BP28-BO32</f>
        <v>0.0</v>
      </c>
      <c r="BP33">
        <f>BO35+BP35</f>
        <v>105.8557892767828</v>
      </c>
      <c r="BQ33" t="str">
        <f>IF(AND(BM24="both tabs",BQ32&gt;0.4),BM28,IF(AND(BM24="both tabs",BQ32&lt;0.4),"2 handicap",IF(AND(BM24="one tab",BQ32&gt;0.02),BM28,BQ36)))</f>
        <v>2 handicap</v>
      </c>
      <c r="CB33" s="201">
        <v>5.0</v>
      </c>
      <c r="CC33" s="202" t="s">
        <v>81</v>
      </c>
      <c r="CD33" s="203">
        <v>5.0</v>
      </c>
      <c r="CE33" s="192">
        <f t="shared" si="48"/>
        <v>0.0011158113734936331</v>
      </c>
      <c r="CF33" s="204">
        <f t="shared" si="49"/>
        <v>32.0</v>
      </c>
      <c r="CL33" t="str">
        <f>IF(AND(CL28="away",CN37=7,CO27&lt;0),"x2",IF(AND(CL28="home",CO27&gt;0,CN37=7),"home 2 handicap",IF(AND(CL28="home",CO27&lt;0,CN37&gt;7),"2handicap for home",IF(AND(CL28="away",CO27&gt;0,CN37&gt;7),"2handicap home",IF(AND(CL28="home",OR(CO27&lt;0,CO27&gt;0),CN37=7),"2handicap home",CL28)))))</f>
        <v>HOME</v>
      </c>
      <c r="CM33" t="str">
        <f>IF(AND(CL30="ignore",CM32="u2.5",CM31="u2.5"),"u 3.5",IF(AND(CM31="u2.5",CM32="u2.5",CL30="win"),"u3.5",IF(AND(CM31="u2.5",CM32="u2.5"),"u2.5",IF(AND(CM31="u 3.5",CM32="u2.5"),"o1.5",IF(AND(CM32="o 1.5",CM31="u2.5"),"u3.5",IF(AND(CM32="o 1.5",CM31="u 3.5"),"u3.5","not available"))))))</f>
        <v>u3.5</v>
      </c>
      <c r="CN33">
        <f>CO28-CN32</f>
        <v>2.4766117896998785E-4</v>
      </c>
      <c r="CO33">
        <f>CN35+CO35</f>
        <v>100.0000184201995</v>
      </c>
      <c r="CP33" t="str">
        <f>IF(AND(CL24="both tabs",CP32&gt;0.4),CL28,IF(AND(CL24="both tabs",CP32&lt;0.4),"2 handicap",IF(AND(CL24="one tab",CP32&gt;0.02),CL28,CP36)))</f>
        <v>2 handicap</v>
      </c>
      <c r="DA33" s="201">
        <v>5.0</v>
      </c>
      <c r="DB33" s="202" t="s">
        <v>81</v>
      </c>
      <c r="DC33" s="203">
        <v>5.0</v>
      </c>
      <c r="DD33" s="192" t="e">
        <f t="shared" si="51"/>
        <v>#N/A</v>
      </c>
      <c r="DE33" s="204" t="e">
        <f t="shared" si="52"/>
        <v>#N/A</v>
      </c>
      <c r="DK33" t="e">
        <f>IF(AND(DK28="away",DM37=7,DN27&lt;0),"x2",IF(AND(DK28="home",DN27&gt;0,DM37=7),"home 2 handicap",IF(AND(DK28="home",DN27&lt;0,DM37&gt;7),"2handicap for home",IF(AND(DK28="away",DN27&gt;0,DM37&gt;7),"2handicap home",IF(AND(DK28="home",OR(DN27&lt;0,DN27&gt;0),DM37=7),"2handicap home",DK28)))))</f>
        <v>#N/A</v>
      </c>
      <c r="DL33" t="e">
        <f>IF(AND(DK30="ignore",DL32="u2.5",DL31="u2.5"),"u 3.5",IF(AND(DL31="u2.5",DL32="u2.5",DK30="win"),"u3.5",IF(AND(DL31="u2.5",DL32="u2.5"),"u2.5",IF(AND(DL31="u 3.5",DL32="u2.5"),"o1.5",IF(AND(DL32="o 1.5",DL31="u2.5"),"u3.5",IF(AND(DL32="o 1.5",DL31="u 3.5"),"u3.5","not available"))))))</f>
        <v>#N/A</v>
      </c>
      <c r="DM33" t="e">
        <f>DN28-DM32</f>
        <v>#N/A</v>
      </c>
      <c r="DN33" t="e">
        <f>DM35+DN35</f>
        <v>#N/A</v>
      </c>
      <c r="DO33" t="e">
        <f>IF(AND(DK24="both tabs",DO32&gt;0.4),DK28,IF(AND(DK24="both tabs",DO32&lt;0.4),"2 handicap",IF(AND(DK24="one tab",DO32&gt;0.02),DK28,DO36)))</f>
        <v>#N/A</v>
      </c>
    </row>
    <row r="34" spans="8:8" ht="15.75" customHeight="1">
      <c r="C34">
        <f>IF(C33="no, no",1,IF(C33="no, yes",2,3))</f>
        <v>2.0</v>
      </c>
      <c r="D34">
        <f>MAX(C20:C22)</f>
        <v>3.0</v>
      </c>
      <c r="E34" s="201">
        <v>0.0</v>
      </c>
      <c r="F34" s="202" t="s">
        <v>81</v>
      </c>
      <c r="G34" s="203">
        <v>3.0</v>
      </c>
      <c r="H34" s="192">
        <f t="shared" si="38"/>
        <v>1.030532846046562</v>
      </c>
      <c r="I34" s="204">
        <f t="shared" si="39"/>
        <v>15.0</v>
      </c>
      <c r="L34" s="227">
        <f t="shared" si="192" ref="L34:M34">MAX(L19:L33)</f>
        <v>0.15793559395333565</v>
      </c>
      <c r="M34" s="228">
        <f t="shared" si="192"/>
        <v>0.09593761275089209</v>
      </c>
      <c r="O34">
        <f>IF(AND(O33="2handicap home",S38="okay home"),"yes", )</f>
        <v>0.0</v>
      </c>
      <c r="P34" t="str">
        <f>IF(AND(P31="u 3.5",P33="u3.5"),"not available",IF(AND(O30="ignore",P31="u2.5",P33="u 3.5"),"u4.5",IF(AND(P31="u2.5",P33="u3.5"),"u4.5",P31)))</f>
        <v>u4.5</v>
      </c>
      <c r="Q34">
        <f>(P29/O27)*100</f>
        <v>66.62853848020684</v>
      </c>
      <c r="R34">
        <f>(ABS(P30)/ABS(O27)*100)</f>
        <v>66.57134620051713</v>
      </c>
      <c r="AD34" s="201">
        <v>0.0</v>
      </c>
      <c r="AE34" s="202">
        <f t="shared" si="41"/>
        <v>3.0</v>
      </c>
      <c r="AF34" s="203">
        <v>3.0</v>
      </c>
      <c r="AG34" s="192">
        <f t="shared" si="42"/>
        <v>2.140620093187735</v>
      </c>
      <c r="AH34" s="204">
        <f t="shared" si="43"/>
        <v>19.0</v>
      </c>
      <c r="AK34" s="227">
        <f t="shared" si="193" ref="AK34:AL34">MAX(AK19:AK33)</f>
        <v>0.061733983565441276</v>
      </c>
      <c r="AL34" s="228">
        <f t="shared" si="193"/>
        <v>0.06296403870131861</v>
      </c>
      <c r="AN34">
        <f>IF(AND(AN33="2handicap home",AR38="okay home"),"yes", )</f>
        <v>0.0</v>
      </c>
      <c r="AO34" t="str">
        <f>IF(AND(AO31="u 3.5",AO33="u3.5"),"not available",IF(AND(AN30="ignore",AO31="u2.5",AO33="u 3.5"),"u4.5",IF(AND(AO31="u2.5",AO33="u3.5"),"u4.5",AO31)))</f>
        <v>u4.5</v>
      </c>
      <c r="AP34">
        <f>(AO29/AN27)*100</f>
        <v>71.9754361416894</v>
      </c>
      <c r="AQ34">
        <f>(ABS(AO30)/ABS(AN27)*100)</f>
        <v>64.01228192915528</v>
      </c>
      <c r="BC34" s="201">
        <v>0.0</v>
      </c>
      <c r="BD34" s="202" t="s">
        <v>81</v>
      </c>
      <c r="BE34" s="203">
        <v>3.0</v>
      </c>
      <c r="BF34" s="192">
        <f t="shared" si="45"/>
        <v>2.140620093187735</v>
      </c>
      <c r="BG34" s="204">
        <f t="shared" si="46"/>
        <v>19.0</v>
      </c>
      <c r="BJ34">
        <f t="shared" si="194" ref="BJ34:BK34">AVERAGE(BJ19:BJ33)</f>
        <v>0.024571382966905874</v>
      </c>
      <c r="BK34">
        <f t="shared" si="194"/>
        <v>0.025501745947828277</v>
      </c>
      <c r="BM34">
        <f>IF(AND(BM33="2handicap home",BQ38="okay home"),"yes", )</f>
        <v>0.0</v>
      </c>
      <c r="BN34" t="str">
        <f>IF(AND(BN31="u 3.5",BN33="u3.5"),"not available",IF(AND(BM30="ignore",BN31="u2.5",BN33="u 3.5"),"u4.5",IF(AND(BN31="u2.5",BN33="u3.5"),"u4.5",BN31)))</f>
        <v>u4.5</v>
      </c>
      <c r="BO34">
        <f>(BN29/BM27)*100</f>
        <v>71.9754361416894</v>
      </c>
      <c r="BP34">
        <f>(ABS(BN30)/ABS(BM27)*100)</f>
        <v>64.01228192915528</v>
      </c>
      <c r="CB34" s="201">
        <v>0.0</v>
      </c>
      <c r="CC34" s="202" t="s">
        <v>81</v>
      </c>
      <c r="CD34" s="203">
        <v>3.0</v>
      </c>
      <c r="CE34" s="192">
        <f t="shared" si="48"/>
        <v>1.030532846046562</v>
      </c>
      <c r="CF34" s="204">
        <f t="shared" si="49"/>
        <v>15.0</v>
      </c>
      <c r="CL34">
        <f>IF(AND(CL33="2handicap home",CP38="okay home"),"yes", )</f>
        <v>0.0</v>
      </c>
      <c r="CM34" t="str">
        <f>IF(AND(CM31="u 3.5",CM33="u3.5"),"not available",IF(AND(CL30="ignore",CM31="u2.5",CM33="u 3.5"),"u4.5",IF(AND(CM31="u2.5",CM33="u3.5"),"u4.5",CM31)))</f>
        <v>u4.5</v>
      </c>
      <c r="CN34">
        <f>(CM29/CL27)*100</f>
        <v>66.62853848020684</v>
      </c>
      <c r="CO34">
        <f>(ABS(CM30)/ABS(CL27)*100)</f>
        <v>66.57134620051713</v>
      </c>
      <c r="DA34" s="201">
        <v>0.0</v>
      </c>
      <c r="DB34" s="202" t="s">
        <v>81</v>
      </c>
      <c r="DC34" s="203">
        <v>3.0</v>
      </c>
      <c r="DD34" s="192" t="e">
        <f t="shared" si="51"/>
        <v>#N/A</v>
      </c>
      <c r="DE34" s="204" t="e">
        <f t="shared" si="52"/>
        <v>#N/A</v>
      </c>
      <c r="DK34" t="e">
        <f>IF(AND(DK33="2handicap home",DO38="okay home"),"yes", )</f>
        <v>#N/A</v>
      </c>
      <c r="DL34" t="e">
        <f>IF(AND(DL31="u 3.5",DL33="u3.5"),"not available",IF(AND(DK30="ignore",DL31="u2.5",DL33="u 3.5"),"u4.5",IF(AND(DL31="u2.5",DL33="u3.5"),"u4.5",DL31)))</f>
        <v>#N/A</v>
      </c>
      <c r="DM34" t="e">
        <f>(DL29/DK27)*100</f>
        <v>#N/A</v>
      </c>
      <c r="DN34" t="e">
        <f>(ABS(DL30)/ABS(DK27)*100)</f>
        <v>#N/A</v>
      </c>
    </row>
    <row r="35" spans="8:8" ht="15.75" customHeight="1">
      <c r="E35" s="201">
        <v>3.0</v>
      </c>
      <c r="F35" s="202" t="s">
        <v>81</v>
      </c>
      <c r="G35" s="203">
        <v>2.0</v>
      </c>
      <c r="H35" s="192">
        <f t="shared" si="38"/>
        <v>1.4815944947207482</v>
      </c>
      <c r="I35" s="204">
        <f t="shared" si="39"/>
        <v>12.0</v>
      </c>
      <c r="K35">
        <f>AVERAGE(L35,M35)</f>
        <v>0.3566145777881489</v>
      </c>
      <c r="L35" s="229">
        <f t="shared" si="195" ref="L35:M35">SUM(L19:L33)</f>
        <v>0.4863271912752928</v>
      </c>
      <c r="M35" s="229">
        <f t="shared" si="195"/>
        <v>0.22690196430100507</v>
      </c>
      <c r="P35" t="str">
        <f>Sheet3!$H$3</f>
        <v>High scoring</v>
      </c>
      <c r="Q35">
        <f>IF(P30&lt;0,(R34/SUM(Q34,R34))*100,(Q34/SUM(Q34,R34))*100)</f>
        <v>50.021468592043746</v>
      </c>
      <c r="R35">
        <f>ABS(R27)/(ABS(R28)+ABS(R27))*100</f>
        <v>49.978549828155785</v>
      </c>
      <c r="AD35" s="201">
        <v>3.0</v>
      </c>
      <c r="AE35" s="202">
        <f t="shared" si="41"/>
        <v>5.0</v>
      </c>
      <c r="AF35" s="203">
        <v>2.0</v>
      </c>
      <c r="AG35" s="192">
        <f t="shared" si="42"/>
        <v>5.308889250466489</v>
      </c>
      <c r="AH35" s="204">
        <f t="shared" si="43"/>
        <v>6.0</v>
      </c>
      <c r="AJ35">
        <f>AVERAGE(AK35,AL35)</f>
        <v>0.37554846686050614</v>
      </c>
      <c r="AK35" s="229">
        <f t="shared" si="196" ref="AK35:AL35">SUM(AK19:AK33)</f>
        <v>0.3685707445035881</v>
      </c>
      <c r="AL35" s="229">
        <f t="shared" si="196"/>
        <v>0.38252618921742415</v>
      </c>
      <c r="AO35" t="str">
        <f>Sheet3!$H$3</f>
        <v>High scoring</v>
      </c>
      <c r="AP35">
        <f>IF(AO30&lt;0,(AQ34/SUM(AP34,AQ34))*100,(AP34/SUM(AP34,AQ34))*100)</f>
        <v>52.92789463839139</v>
      </c>
      <c r="AQ35">
        <f>ABS(AQ27)/(ABS(AQ28)+ABS(AQ27))*100</f>
        <v>52.92789463839139</v>
      </c>
      <c r="BC35" s="201">
        <v>3.0</v>
      </c>
      <c r="BD35" s="202" t="s">
        <v>81</v>
      </c>
      <c r="BE35" s="203">
        <v>2.0</v>
      </c>
      <c r="BF35" s="192">
        <f t="shared" si="45"/>
        <v>5.308889250466489</v>
      </c>
      <c r="BG35" s="204">
        <f t="shared" si="46"/>
        <v>6.0</v>
      </c>
      <c r="BN35" t="str">
        <f>Sheet3!$H$3</f>
        <v>High scoring</v>
      </c>
      <c r="BO35">
        <f>IF(BN30&lt;0,(BP34/SUM(BO34,BP34))*100,(BO34/SUM(BO34,BP34))*100)</f>
        <v>52.92789463839139</v>
      </c>
      <c r="BP35">
        <f>ABS(BP27)/(ABS(BP28)+ABS(BP27))*100</f>
        <v>52.92789463839139</v>
      </c>
      <c r="CB35" s="201">
        <v>3.0</v>
      </c>
      <c r="CC35" s="202" t="s">
        <v>81</v>
      </c>
      <c r="CD35" s="203">
        <v>2.0</v>
      </c>
      <c r="CE35" s="192">
        <f t="shared" si="48"/>
        <v>1.4815944947207482</v>
      </c>
      <c r="CF35" s="204">
        <f t="shared" si="49"/>
        <v>12.0</v>
      </c>
      <c r="CM35" t="str">
        <f>Sheet3!$H$3</f>
        <v>High scoring</v>
      </c>
      <c r="CN35">
        <f>IF(CM30&lt;0,(CO34/SUM(CN34,CO34))*100,(CN34/SUM(CN34,CO34))*100)</f>
        <v>50.021468592043746</v>
      </c>
      <c r="CO35">
        <f>ABS(CO27)/(ABS(CO28)+ABS(CO27))*100</f>
        <v>49.978549828155785</v>
      </c>
      <c r="DA35" s="201">
        <v>3.0</v>
      </c>
      <c r="DB35" s="202" t="s">
        <v>81</v>
      </c>
      <c r="DC35" s="203">
        <v>2.0</v>
      </c>
      <c r="DD35" s="192" t="e">
        <f t="shared" si="51"/>
        <v>#N/A</v>
      </c>
      <c r="DE35" s="204" t="e">
        <f t="shared" si="52"/>
        <v>#N/A</v>
      </c>
      <c r="DL35" t="str">
        <f>Sheet3!$H$3</f>
        <v>High scoring</v>
      </c>
      <c r="DM35" t="e">
        <f>IF(DL30&lt;0,(DN34/SUM(DM34,DN34))*100,(DM34/SUM(DM34,DN34))*100)</f>
        <v>#N/A</v>
      </c>
      <c r="DN35" t="e">
        <f>ABS(DN27)/(ABS(DN28)+ABS(DN27))*100</f>
        <v>#N/A</v>
      </c>
    </row>
    <row r="36" spans="8:8" ht="15.75" customHeight="1">
      <c r="E36" s="201">
        <v>0.0</v>
      </c>
      <c r="F36" s="202" t="s">
        <v>81</v>
      </c>
      <c r="G36" s="203">
        <v>4.0</v>
      </c>
      <c r="H36" s="192">
        <f t="shared" si="38"/>
        <v>0.20683019333334116</v>
      </c>
      <c r="I36" s="204">
        <f t="shared" si="39"/>
        <v>21.0</v>
      </c>
      <c r="L36" s="229">
        <f>MAX(N53:N67)</f>
        <v>20.97079251799644</v>
      </c>
      <c r="M36" s="230">
        <f>MIN(N53:N67)</f>
        <v>-2.6932104061864397</v>
      </c>
      <c r="P36" t="s">
        <v>103</v>
      </c>
      <c r="Q36">
        <f>Q35-R35</f>
        <v>0.04291876388790428</v>
      </c>
      <c r="R36" t="str">
        <f>IF(AND(O24="both tabs",O28="home",P30&gt;0,Q36&lt;88),"play goals",IF(AND(O28="away",P30&gt;0,Q36&lt;-10),"1x",IF(AND(O28="away",P30&lt;1,Q36&lt;45,Q36&gt;3),"2",IF(AND(O28="home",P30&gt;0,Q36&lt;48),"1",IF(AND(O28="home",P30&gt;0,Q36&lt;88,Q36&gt;50),"1x",IF(AND(O28="home",P30&lt;0,Q36&lt;-10),"x2",IF(AND(O24="both tabs",O28="away",P30&lt;0,Q36&lt;88),"play Goals",IF(AND(O28="away",P30&lt;0,Q36&lt;88),"x2","not available"))))))))</f>
        <v>play goals</v>
      </c>
      <c r="S36" t="str">
        <f>IF(O28="away","home",IF(O28="home","away"))</f>
        <v>away</v>
      </c>
      <c r="AD36" s="201">
        <v>0.0</v>
      </c>
      <c r="AE36" s="202">
        <f t="shared" si="41"/>
        <v>4.0</v>
      </c>
      <c r="AF36" s="203">
        <v>4.0</v>
      </c>
      <c r="AG36" s="192">
        <f t="shared" si="42"/>
        <v>1.2276626717629902</v>
      </c>
      <c r="AH36" s="204">
        <f t="shared" si="43"/>
        <v>24.0</v>
      </c>
      <c r="AK36" s="229">
        <f>MAX(AM53:AM67)</f>
        <v>9.05548320836063</v>
      </c>
      <c r="AL36" s="230">
        <f>MIN(AM53:AM67)</f>
        <v>-11.46155178365041</v>
      </c>
      <c r="AO36" t="s">
        <v>103</v>
      </c>
      <c r="AP36">
        <f>AP35-AQ35</f>
        <v>0.0</v>
      </c>
      <c r="AQ36" t="str">
        <f>IF(AND(AN24="both tabs",AN28="home",AO30&gt;0,AP36&lt;88),"play goals",IF(AND(AN28="away",AO30&gt;0,AP36&lt;-10),"1x",IF(AND(AN28="away",AO30&lt;1,AP36&lt;45,AP36&gt;3),"2",IF(AND(AN28="home",AO30&gt;0,AP36&lt;48),"1",IF(AND(AN28="home",AO30&gt;0,AP36&lt;88,AP36&gt;50),"1x",IF(AND(AN28="home",AO30&lt;0,AP36&lt;-10),"x2",IF(AND(AN24="both tabs",AN28="away",AO30&lt;0,AP36&lt;88),"play Goals",IF(AND(AN28="away",AO30&lt;0,AP36&lt;88),"x2","not available"))))))))</f>
        <v>not available</v>
      </c>
      <c r="AR36" t="str">
        <f>IF(AN28="away","home",IF(AN28="home","away"))</f>
        <v>home</v>
      </c>
      <c r="BC36" s="201">
        <v>0.0</v>
      </c>
      <c r="BD36" s="202" t="s">
        <v>81</v>
      </c>
      <c r="BE36" s="203">
        <v>4.0</v>
      </c>
      <c r="BF36" s="192">
        <f t="shared" si="45"/>
        <v>1.2276626717629902</v>
      </c>
      <c r="BG36" s="204">
        <f t="shared" si="46"/>
        <v>24.0</v>
      </c>
      <c r="BN36" t="s">
        <v>103</v>
      </c>
      <c r="BO36">
        <f>BO35-BP35</f>
        <v>0.0</v>
      </c>
      <c r="BP36" t="str">
        <f>IF(AND(BM24="both tabs",BM28="home",BN30&gt;0,BO36&lt;88),"play goals",IF(AND(BM28="away",BN30&gt;0,BO36&lt;-10),"1x",IF(AND(BM28="away",BN30&lt;1,BO36&lt;45,BO36&gt;3),"2",IF(AND(BM28="home",BN30&gt;0,BO36&lt;48),"1",IF(AND(BM28="home",BN30&gt;0,BO36&lt;88,BO36&gt;50),"1x",IF(AND(BM28="home",BN30&lt;0,BO36&lt;-10),"x2",IF(AND(BM24="both tabs",BM28="away",BN30&lt;0,BO36&lt;88),"play Goals",IF(AND(BM28="away",BN30&lt;0,BO36&lt;88),"x2","not available"))))))))</f>
        <v>not available</v>
      </c>
      <c r="BQ36" t="str">
        <f>IF(BM28="away","home",IF(BM28="home","away"))</f>
        <v>home</v>
      </c>
      <c r="CB36" s="201">
        <v>0.0</v>
      </c>
      <c r="CC36" s="202" t="s">
        <v>81</v>
      </c>
      <c r="CD36" s="203">
        <v>4.0</v>
      </c>
      <c r="CE36" s="192">
        <f t="shared" si="48"/>
        <v>0.20683019333334116</v>
      </c>
      <c r="CF36" s="204">
        <f t="shared" si="49"/>
        <v>21.0</v>
      </c>
      <c r="CM36" t="s">
        <v>103</v>
      </c>
      <c r="CN36">
        <f>CN35-CO35</f>
        <v>0.04291876388790428</v>
      </c>
      <c r="CO36" t="str">
        <f>IF(AND(CL24="both tabs",CL28="home",CM30&gt;0,CN36&lt;88),"play goals",IF(AND(CL28="away",CM30&gt;0,CN36&lt;-10),"1x",IF(AND(CL28="away",CM30&lt;1,CN36&lt;45,CN36&gt;3),"2",IF(AND(CL28="home",CM30&gt;0,CN36&lt;48),"1",IF(AND(CL28="home",CM30&gt;0,CN36&lt;88,CN36&gt;50),"1x",IF(AND(CL28="home",CM30&lt;0,CN36&lt;-10),"x2",IF(AND(CL24="both tabs",CL28="away",CM30&lt;0,CN36&lt;88),"play Goals",IF(AND(CL28="away",CM30&lt;0,CN36&lt;88),"x2","not available"))))))))</f>
        <v>play goals</v>
      </c>
      <c r="CP36" t="str">
        <f>IF(CL28="away","home",IF(CL28="home","away"))</f>
        <v>away</v>
      </c>
      <c r="DA36" s="201">
        <v>0.0</v>
      </c>
      <c r="DB36" s="202" t="s">
        <v>81</v>
      </c>
      <c r="DC36" s="203">
        <v>4.0</v>
      </c>
      <c r="DD36" s="192" t="e">
        <f t="shared" si="51"/>
        <v>#N/A</v>
      </c>
      <c r="DE36" s="204" t="e">
        <f t="shared" si="52"/>
        <v>#N/A</v>
      </c>
      <c r="DL36" t="s">
        <v>103</v>
      </c>
      <c r="DM36" t="e">
        <f>DM35-DN35</f>
        <v>#N/A</v>
      </c>
      <c r="DN36" t="e">
        <f>IF(AND(DK24="both tabs",DK28="home",DL30&gt;0,DM36&lt;88),"play goals",IF(AND(DK28="away",DL30&gt;0,DM36&lt;-10),"1x",IF(AND(DK28="away",DL30&lt;1,DM36&lt;45,DM36&gt;3),"2",IF(AND(DK28="home",DL30&gt;0,DM36&lt;48),"1",IF(AND(DK28="home",DL30&gt;0,DM36&lt;88,DM36&gt;50),"1x",IF(AND(DK28="home",DL30&lt;0,DM36&lt;-10),"x2",IF(AND(DK24="both tabs",DK28="away",DL30&lt;0,DM36&lt;88),"play Goals",IF(AND(DK28="away",DL30&lt;0,DM36&lt;88),"x2","not available"))))))))</f>
        <v>#N/A</v>
      </c>
      <c r="DO36" t="e">
        <f>IF(DK28="away","home",IF(DK28="home","away"))</f>
        <v>#N/A</v>
      </c>
    </row>
    <row r="37" spans="8:8" ht="15.75" customHeight="1">
      <c r="E37" s="216"/>
      <c r="F37" s="217"/>
      <c r="G37" s="217"/>
      <c r="H37" s="217"/>
      <c r="I37" s="219"/>
      <c r="L37" s="231">
        <f>ABS(L36)-ABS(M36)</f>
        <v>18.27758211180996</v>
      </c>
      <c r="M37" s="232" t="str">
        <f>IF(L37&lt;0,M4,L5)</f>
        <v> Monterey Bay </v>
      </c>
      <c r="Q37">
        <f>IF(AND(R27&gt;0,R35&gt;10),100-R37,7)</f>
        <v>49.97854062200886</v>
      </c>
      <c r="R37">
        <f>(Q35/R33)*100</f>
        <v>50.02145937799114</v>
      </c>
      <c r="S37" t="str">
        <f>IF(AND(S36="away",R38&lt;82,R3&gt;50),"tired",IF(AND(S36="home",R38&lt;49),"okay home","okay away"))</f>
        <v>okay away</v>
      </c>
      <c r="AD37" s="216"/>
      <c r="AE37" s="217"/>
      <c r="AF37" s="217"/>
      <c r="AG37" s="217"/>
      <c r="AH37" s="219"/>
      <c r="AK37" s="231">
        <f>ABS(AK36)-ABS(AL36)</f>
        <v>-2.406068575289769</v>
      </c>
      <c r="AL37" s="232" t="str">
        <f>IF(AK37&lt;0,AL4,AK5)</f>
        <v> Monterey Bay </v>
      </c>
      <c r="AP37">
        <f>IF(AND(AQ27&gt;0,AQ35&gt;10),100-AQ37,7)</f>
        <v>50.00000000000001</v>
      </c>
      <c r="AQ37">
        <f>(AP35/AQ33)*100</f>
        <v>49.99999999999999</v>
      </c>
      <c r="AR37" t="str">
        <f>IF(AND(AR36="away",AQ38&lt;82,AQ38&gt;50),"tired",IF(AND(AR36="home",AQ38&lt;49),"okay home","okay away"))</f>
        <v>okay away</v>
      </c>
      <c r="BC37" s="216"/>
      <c r="BD37" s="217"/>
      <c r="BE37" s="217"/>
      <c r="BF37" s="217"/>
      <c r="BG37" s="219"/>
      <c r="BO37">
        <f>IF(AND(BP27&gt;0,BP35&gt;10),100-BP37,7)</f>
        <v>50.00000000000001</v>
      </c>
      <c r="BP37">
        <f>(BO35/BP33)*100</f>
        <v>49.99999999999999</v>
      </c>
      <c r="BQ37" t="str">
        <f>IF(AND(BQ36="away",BP38&lt;82,BP38&gt;50),"tired",IF(AND(BQ36="home",BP38&lt;49),"okay home","okay away"))</f>
        <v>okay away</v>
      </c>
      <c r="CB37" s="216"/>
      <c r="CC37" s="217"/>
      <c r="CD37" s="217"/>
      <c r="CE37" s="217"/>
      <c r="CF37" s="219"/>
      <c r="CN37">
        <f>IF(AND(CO27&gt;0,CO35&gt;10),100-CO37,7)</f>
        <v>49.97854062200886</v>
      </c>
      <c r="CO37">
        <f>(CN35/CO33)*100</f>
        <v>50.02145937799114</v>
      </c>
      <c r="CP37" t="str">
        <f>IF(AND(CP36="away",CO38&lt;82,CO38&gt;50),"tired",IF(AND(CP36="home",CO38&lt;49),"okay home","okay away"))</f>
        <v>tired</v>
      </c>
      <c r="DA37" s="216"/>
      <c r="DB37" s="217"/>
      <c r="DC37" s="217"/>
      <c r="DD37" s="217"/>
      <c r="DE37" s="219"/>
      <c r="DM37" t="e">
        <f>IF(AND(DN27&gt;0,DN35&gt;10),100-DN37,7)</f>
        <v>#N/A</v>
      </c>
      <c r="DN37" t="e">
        <f>(DM35/DN33)*100</f>
        <v>#N/A</v>
      </c>
      <c r="DO37" t="e">
        <f>IF(AND(DO36="away",DN38&lt;82,DN38&gt;50),"tired",IF(AND(DO36="home",DN38&lt;49),"okay home","okay away"))</f>
        <v>#N/A</v>
      </c>
    </row>
    <row r="38" spans="8:8" ht="15.75" customHeight="1">
      <c r="E38">
        <f>LARGE($H$5:$H$36,1)</f>
        <v>15.793559395333565</v>
      </c>
      <c r="F38">
        <f>LARGE($H$5:$H$36,2)</f>
        <v>12.679207482575878</v>
      </c>
      <c r="G38">
        <f>LARGE($H$5:$H$36,3)</f>
        <v>11.950245212959487</v>
      </c>
      <c r="H38">
        <f>LARGE($H$5:$H$36,4)</f>
        <v>9.593761275089209</v>
      </c>
      <c r="I38">
        <f>LARGE($H$5:$H$36,5)</f>
        <v>8.378481482733854</v>
      </c>
      <c r="L38">
        <f>L35-M35</f>
        <v>0.259425226974288</v>
      </c>
      <c r="M38" t="str">
        <f>IF(L38&lt;0,M4,L5)</f>
        <v> Monterey Bay </v>
      </c>
      <c r="Q38">
        <f>100-R37</f>
        <v>49.9785406220089</v>
      </c>
      <c r="R38">
        <f>IF(S36="away",R37,Q38)</f>
        <v>50.02145937799114</v>
      </c>
      <c r="S38" t="str">
        <f>IF(AND(P26="away",S33="home"),"both sides",IF(AND(P27="home",S33="away"),"both sides",S37))</f>
        <v>okay away</v>
      </c>
      <c r="AK38">
        <f>AK35-AL35</f>
        <v>-0.013955444713835974</v>
      </c>
      <c r="AL38" t="str">
        <f>IF(AK38&lt;0,AL4,AK5)</f>
        <v> Monterey Bay </v>
      </c>
      <c r="AP38">
        <f>100-AQ37</f>
        <v>50.0</v>
      </c>
      <c r="AQ38">
        <f>IF(AR36="away",AQ37,AP38)</f>
        <v>50.0</v>
      </c>
      <c r="AR38" t="str">
        <f>IF(AND(AO26="away",AR33="home"),"both sides",IF(AND(AO27="home",AR33="away"),"both sides",AR37))</f>
        <v>okay away</v>
      </c>
      <c r="BO38">
        <f>100-BP37</f>
        <v>50.0</v>
      </c>
      <c r="BP38">
        <f>IF(BQ36="away",BP37,BO38)</f>
        <v>50.0</v>
      </c>
      <c r="BQ38" t="str">
        <f>IF(AND(BN26="away",BQ33="home"),"both sides",IF(AND(BN27="home",BQ33="away"),"both sides",BQ37))</f>
        <v>okay away</v>
      </c>
      <c r="CN38">
        <f>100-CO37</f>
        <v>49.9785406220089</v>
      </c>
      <c r="CO38">
        <f>IF(CP36="away",CO37,CN38)</f>
        <v>50.02145937799114</v>
      </c>
      <c r="CP38" t="str">
        <f>IF(AND(CM26="away",CP33="home"),"both sides",IF(AND(CM27="home",CP33="away"),"both sides",CP37))</f>
        <v>tired</v>
      </c>
      <c r="DM38" t="e">
        <f>100-DN37</f>
        <v>#N/A</v>
      </c>
      <c r="DN38" t="e">
        <f>IF(DO36="away",DN37,DM38)</f>
        <v>#N/A</v>
      </c>
      <c r="DO38" t="e">
        <f>IF(AND(DL26="away",DO33="home"),"both sides",IF(AND(DL27="home",DO33="away"),"both sides",DO37))</f>
        <v>#N/A</v>
      </c>
    </row>
    <row r="39" spans="8:8" ht="15.75" customHeight="1">
      <c r="D39" t="str">
        <f>IF(OR(D33="yes",D55="yes",AC55="yes",AC17="yes"),"never","yes")</f>
        <v>never</v>
      </c>
      <c r="E39">
        <f>AVERAGE(E38:I38)</f>
        <v>11.679050969738398</v>
      </c>
      <c r="H39" t="str">
        <f>IF(I39&gt;0.74,"high",IF(I39&gt;0.64,"medium",IF(I39&gt;0.5,"low","off")))</f>
        <v>low</v>
      </c>
      <c r="I39">
        <f>CORREL(I5:I36,I43:I74)</f>
        <v>0.5777126099706745</v>
      </c>
      <c r="L39">
        <f t="shared" si="197" ref="L39:M39">L35-L34</f>
        <v>0.328391597321957</v>
      </c>
      <c r="M39">
        <f t="shared" si="197"/>
        <v>0.1309643515501129</v>
      </c>
      <c r="U39" s="192">
        <v>0.0</v>
      </c>
      <c r="V39" s="192">
        <f t="shared" si="198" ref="V39:Y39">U39+1</f>
        <v>1.0</v>
      </c>
      <c r="W39" s="192">
        <f t="shared" si="198"/>
        <v>2.0</v>
      </c>
      <c r="X39" s="192">
        <f t="shared" si="198"/>
        <v>3.0</v>
      </c>
      <c r="Y39" s="192">
        <f t="shared" si="198"/>
        <v>4.0</v>
      </c>
      <c r="AG39" t="str">
        <f>IF(AH39&gt;0.9,"high1",IF(AH39&gt;0.74,"high",IF(AH39&gt;0.64,"medium",IF(AH39&gt;0.5,"low","off"))))</f>
        <v>low</v>
      </c>
      <c r="AH39">
        <f>CORREL(AH5:AH36,AH43:AH74)</f>
        <v>0.594208211143695</v>
      </c>
      <c r="AK39">
        <f t="shared" si="199" ref="AK39:AL39">AK35-AK34</f>
        <v>0.3068367609381467</v>
      </c>
      <c r="AL39">
        <f t="shared" si="199"/>
        <v>0.31956215051610537</v>
      </c>
      <c r="AT39" s="192">
        <v>0.0</v>
      </c>
      <c r="AU39" s="192">
        <f t="shared" si="200" ref="AU39:AX39">AT39+1</f>
        <v>1.0</v>
      </c>
      <c r="AV39" s="192">
        <f t="shared" si="200"/>
        <v>2.0</v>
      </c>
      <c r="AW39" s="192">
        <f t="shared" si="200"/>
        <v>3.0</v>
      </c>
      <c r="AX39" s="192">
        <f t="shared" si="200"/>
        <v>4.0</v>
      </c>
      <c r="BB39" t="str">
        <f>IF(OR(BB17="yes",BB55="yes",CA55="yes",CA17="yes"),"never","yes")</f>
        <v>never</v>
      </c>
      <c r="BC39" t="str">
        <f>IF(AND(BV25&lt;&gt;1,CU25&lt;&gt;1),"yes",IF(OR(CU25&lt;&gt;1,BV25&lt;&gt;1),"yes1","never"))</f>
        <v>yes1</v>
      </c>
      <c r="BD39" t="str">
        <f>IF(AND(BB39="yes",BC39="yes1"),"yes1",IF(AND(BC39&lt;&gt;"never",BB39="yes"),"yes","never"))</f>
        <v>never</v>
      </c>
      <c r="BE39" t="str">
        <f>IF(OR(BD39="never", ,BD39="yes1"),"coup","")</f>
        <v>coup</v>
      </c>
      <c r="BF39" t="str">
        <f>IF(BG39&gt;0.9,"high1",IF(BG39&gt;0.74,"high",IF(BG39&gt;0.64,"medium",IF(BG39&gt;0.5,"low","off"))))</f>
        <v>low</v>
      </c>
      <c r="BG39">
        <f>CORREL(BG5:BG36,BG43:BG74)</f>
        <v>0.594208211143695</v>
      </c>
      <c r="BS39" s="192">
        <v>0.0</v>
      </c>
      <c r="BT39" s="192">
        <f t="shared" si="201" ref="BT39:BW39">BS39+1</f>
        <v>1.0</v>
      </c>
      <c r="BU39" s="192">
        <f t="shared" si="201"/>
        <v>2.0</v>
      </c>
      <c r="BV39" s="192">
        <f t="shared" si="201"/>
        <v>3.0</v>
      </c>
      <c r="BW39" s="192">
        <f t="shared" si="201"/>
        <v>4.0</v>
      </c>
      <c r="CE39" t="str">
        <f>IF(CF39&gt;0.9,"high1",IF(CF39&gt;0.74,"high",IF(CF39&gt;0.64,"medium",IF(CF39&gt;0.5,"low","off"))))</f>
        <v>low</v>
      </c>
      <c r="CF39">
        <f>CORREL(CF5:CF36,CF43:CF74)</f>
        <v>0.5777126099706745</v>
      </c>
      <c r="CR39" s="192">
        <v>0.0</v>
      </c>
      <c r="CS39" s="192">
        <f t="shared" si="202" ref="CS39:CV39">CR39+1</f>
        <v>1.0</v>
      </c>
      <c r="CT39" s="192">
        <f t="shared" si="202"/>
        <v>2.0</v>
      </c>
      <c r="CU39" s="192">
        <f t="shared" si="202"/>
        <v>3.0</v>
      </c>
      <c r="CV39" s="192">
        <f t="shared" si="202"/>
        <v>4.0</v>
      </c>
      <c r="DD39" t="e">
        <f>IF(DE39&gt;0.74,"high",IF(DE39&gt;0.64,"medium",IF(DE39&gt;0.5,"low","off")))</f>
        <v>#N/A</v>
      </c>
      <c r="DE39" t="e">
        <f>CORREL(DE5:DE36,DE43:DE74)</f>
        <v>#N/A</v>
      </c>
      <c r="DQ39" s="192">
        <v>0.0</v>
      </c>
      <c r="DR39" s="192">
        <f t="shared" si="203" ref="DR39:DU39">DQ39+1</f>
        <v>1.0</v>
      </c>
      <c r="DS39" s="192">
        <f t="shared" si="203"/>
        <v>2.0</v>
      </c>
      <c r="DT39" s="192">
        <f t="shared" si="203"/>
        <v>3.0</v>
      </c>
      <c r="DU39" s="192">
        <f t="shared" si="203"/>
        <v>4.0</v>
      </c>
    </row>
    <row r="40" spans="8:8" ht="15.75" customHeight="1">
      <c r="D40" t="str">
        <f>IF(AND(X25&lt;&gt;1,AW25&lt;&gt;1),"yes",IF(OR(AW25&lt;&gt;1,X25&lt;&gt;1),"yes1","never"))</f>
        <v>yes1</v>
      </c>
      <c r="E40" t="str">
        <f>IF(AND(D39="yes",D40="yes1"),"yes1",IF(AND(D40&lt;&gt;"never",D39="yes"),"yes","never"))</f>
        <v>never</v>
      </c>
      <c r="F40" t="str">
        <f>IF(OR(E40="never", ,E40="yes1"),"coup","")</f>
        <v>coup</v>
      </c>
      <c r="L40">
        <f>L39-M39</f>
        <v>0.197427245771844</v>
      </c>
      <c r="M40">
        <f>ABS(L40)-ABS(AK40)</f>
        <v>0.18470185619388602</v>
      </c>
      <c r="T40">
        <f>AVERAGE(C14:D14)</f>
        <v>2.265052934715861</v>
      </c>
      <c r="U40" s="192">
        <f t="shared" si="204" ref="U40:Y40">POISSON(U39,$T$40,FALSE)*100</f>
        <v>10.382453847288836</v>
      </c>
      <c r="V40" s="192">
        <f t="shared" si="204"/>
        <v>23.51680755635357</v>
      </c>
      <c r="W40" s="192">
        <f t="shared" si="204"/>
        <v>26.633406985333387</v>
      </c>
      <c r="X40" s="192">
        <f t="shared" si="204"/>
        <v>20.108692217870438</v>
      </c>
      <c r="Y40" s="192">
        <f t="shared" si="204"/>
        <v>11.386813080346354</v>
      </c>
      <c r="Z40" s="196">
        <v>99.99999119172436</v>
      </c>
      <c r="AK40">
        <f>AK39-AL39</f>
        <v>-0.01272538957795799</v>
      </c>
      <c r="AS40">
        <f>AVERAGE(C15:D15)</f>
        <v>1.0562075780505866</v>
      </c>
      <c r="AT40" s="192">
        <f t="shared" si="205" ref="AT40:AX40">POISSON(AT39,$AS$40,FALSE)*100</f>
        <v>34.7772211546331</v>
      </c>
      <c r="AU40" s="192">
        <f t="shared" si="205"/>
        <v>36.731964527064655</v>
      </c>
      <c r="AV40" s="192">
        <f t="shared" si="205"/>
        <v>19.398289645085512</v>
      </c>
      <c r="AW40" s="192">
        <f t="shared" si="205"/>
        <v>6.829540174786507</v>
      </c>
      <c r="AX40" s="192">
        <f t="shared" si="205"/>
        <v>1.803353021802611</v>
      </c>
      <c r="AY40">
        <f>SUM(AT40:AX40,AT42:AX42)</f>
        <v>99.9999816991846</v>
      </c>
      <c r="BR40">
        <f>AVERAGE(C16:D16)</f>
        <v>1.0562075780505866</v>
      </c>
      <c r="BS40" s="192">
        <f t="shared" si="206" ref="BS40:BW40">POISSON(BS39,$BR$40,FALSE)*100</f>
        <v>34.7772211546331</v>
      </c>
      <c r="BT40" s="192">
        <f t="shared" si="206"/>
        <v>36.731964527064655</v>
      </c>
      <c r="BU40" s="192">
        <f t="shared" si="206"/>
        <v>19.398289645085512</v>
      </c>
      <c r="BV40" s="192">
        <f t="shared" si="206"/>
        <v>6.829540174786507</v>
      </c>
      <c r="BW40" s="192">
        <f t="shared" si="206"/>
        <v>1.803353021802611</v>
      </c>
      <c r="BX40">
        <f>SUM(BS40:BW40,BS42:BW42)</f>
        <v>99.9999816991846</v>
      </c>
      <c r="CQ40">
        <f>AVERAGE(C17:D17)</f>
        <v>2.265052934715861</v>
      </c>
      <c r="CR40" s="192">
        <f t="shared" si="207" ref="CR40:CV40">POISSON(CR39,$CQ$40,FALSE)*100</f>
        <v>10.382453847288836</v>
      </c>
      <c r="CS40" s="192">
        <f t="shared" si="207"/>
        <v>23.51680755635357</v>
      </c>
      <c r="CT40" s="192">
        <f t="shared" si="207"/>
        <v>26.633406985333387</v>
      </c>
      <c r="CU40" s="192">
        <f t="shared" si="207"/>
        <v>20.108692217870438</v>
      </c>
      <c r="CV40" s="192">
        <f t="shared" si="207"/>
        <v>11.386813080346354</v>
      </c>
      <c r="CW40">
        <f>SUM(CR40:CV40,CR42:CV42)</f>
        <v>99.98725861774868</v>
      </c>
      <c r="DP40" t="e">
        <f>AVERAGE(C18:D18)</f>
        <v>#N/A</v>
      </c>
      <c r="DQ40" s="192" t="e">
        <f t="shared" si="208" ref="DQ40:DU40">POISSON(DQ39,$DP$40,FALSE)*100</f>
        <v>#N/A</v>
      </c>
      <c r="DR40" s="192" t="e">
        <f t="shared" si="208"/>
        <v>#N/A</v>
      </c>
      <c r="DS40" s="192" t="e">
        <f t="shared" si="208"/>
        <v>#N/A</v>
      </c>
      <c r="DT40" s="192" t="e">
        <f t="shared" si="208"/>
        <v>#N/A</v>
      </c>
      <c r="DU40" s="192" t="e">
        <f t="shared" si="208"/>
        <v>#N/A</v>
      </c>
      <c r="DV40" t="e">
        <f>SUM(DQ40:DU40,DQ42:DU42)</f>
        <v>#N/A</v>
      </c>
    </row>
    <row r="41" spans="8:8" ht="15.75" customHeight="1">
      <c r="F41">
        <v>1.0</v>
      </c>
      <c r="T41">
        <f>C14-D14</f>
        <v>-0.09398975812412003</v>
      </c>
      <c r="U41" s="192">
        <v>5.0</v>
      </c>
      <c r="V41" s="192">
        <f t="shared" si="209" ref="V41:Y41">U41+1</f>
        <v>6.0</v>
      </c>
      <c r="W41" s="192">
        <f t="shared" si="209"/>
        <v>7.0</v>
      </c>
      <c r="X41" s="192">
        <f t="shared" si="209"/>
        <v>8.0</v>
      </c>
      <c r="Y41" s="192">
        <f t="shared" si="209"/>
        <v>9.0</v>
      </c>
      <c r="Z41" s="196">
        <v>0.0</v>
      </c>
      <c r="AA41" s="196">
        <v>37.73716722448017</v>
      </c>
      <c r="AB41">
        <f t="shared" si="210" ref="AB41:AB44">AA42-AA41</f>
        <v>36.7758019139398</v>
      </c>
      <c r="AC41" s="196">
        <f t="shared" si="211" ref="AC41:AC43">AB41-AB42</f>
        <v>18.8563380817952</v>
      </c>
      <c r="AS41">
        <f>C15-D15</f>
        <v>0.494188119297147</v>
      </c>
      <c r="AT41" s="192">
        <v>5.0</v>
      </c>
      <c r="AU41" s="192">
        <f t="shared" si="212" ref="AU41:AX41">AT41+1</f>
        <v>6.0</v>
      </c>
      <c r="AV41" s="192">
        <f t="shared" si="212"/>
        <v>7.0</v>
      </c>
      <c r="AW41" s="192">
        <f t="shared" si="212"/>
        <v>8.0</v>
      </c>
      <c r="AX41" s="192">
        <f t="shared" si="212"/>
        <v>9.0</v>
      </c>
      <c r="AY41">
        <v>0.0</v>
      </c>
      <c r="AZ41">
        <f>AT40</f>
        <v>34.7772211546331</v>
      </c>
      <c r="BA41">
        <f t="shared" si="213" ref="BA41:BA44">AZ42-AZ41</f>
        <v>36.731964527064605</v>
      </c>
      <c r="BB41">
        <f t="shared" si="214" ref="BB41:BB43">BA41-BA42</f>
        <v>17.333674881978997</v>
      </c>
      <c r="BR41">
        <f>C16-D16</f>
        <v>0.494188119297147</v>
      </c>
      <c r="BS41" s="192">
        <v>5.0</v>
      </c>
      <c r="BT41" s="192">
        <f t="shared" si="215" ref="BT41:BW41">BS41+1</f>
        <v>6.0</v>
      </c>
      <c r="BU41" s="192">
        <f t="shared" si="215"/>
        <v>7.0</v>
      </c>
      <c r="BV41" s="192">
        <f t="shared" si="215"/>
        <v>8.0</v>
      </c>
      <c r="BW41" s="192">
        <f t="shared" si="215"/>
        <v>9.0</v>
      </c>
      <c r="BX41">
        <v>0.0</v>
      </c>
      <c r="BY41">
        <f>BS40</f>
        <v>34.7772211546331</v>
      </c>
      <c r="BZ41">
        <f t="shared" si="216" ref="BZ41:BZ44">BY42-BY41</f>
        <v>36.731964527064605</v>
      </c>
      <c r="CA41">
        <f t="shared" si="217" ref="CA41:CA43">BZ41-BZ42</f>
        <v>17.333674881978997</v>
      </c>
      <c r="CQ41">
        <f>C17-D17</f>
        <v>-0.09398975812412003</v>
      </c>
      <c r="CR41" s="192">
        <v>5.0</v>
      </c>
      <c r="CS41" s="192">
        <f t="shared" si="218" ref="CS41:CV41">CR41+1</f>
        <v>6.0</v>
      </c>
      <c r="CT41" s="192">
        <f t="shared" si="218"/>
        <v>7.0</v>
      </c>
      <c r="CU41" s="192">
        <f t="shared" si="218"/>
        <v>8.0</v>
      </c>
      <c r="CV41" s="192">
        <f t="shared" si="218"/>
        <v>9.0</v>
      </c>
      <c r="CW41">
        <v>0.0</v>
      </c>
      <c r="CX41">
        <f>CR40</f>
        <v>10.382453847288836</v>
      </c>
      <c r="CY41">
        <f t="shared" si="219" ref="CY41:CY44">CX42-CX41</f>
        <v>23.516807556353598</v>
      </c>
      <c r="CZ41">
        <f t="shared" si="220" ref="CZ41:CZ43">CY41-CY42</f>
        <v>-3.1165994289798</v>
      </c>
      <c r="DP41" t="e">
        <f>C18-D18</f>
        <v>#N/A</v>
      </c>
      <c r="DQ41" s="192">
        <v>5.0</v>
      </c>
      <c r="DR41" s="192">
        <f t="shared" si="221" ref="DR41:DU41">DQ41+1</f>
        <v>6.0</v>
      </c>
      <c r="DS41" s="192">
        <f t="shared" si="221"/>
        <v>7.0</v>
      </c>
      <c r="DT41" s="192">
        <f t="shared" si="221"/>
        <v>8.0</v>
      </c>
      <c r="DU41" s="192">
        <f t="shared" si="221"/>
        <v>9.0</v>
      </c>
      <c r="DV41">
        <v>0.0</v>
      </c>
      <c r="DW41" t="e">
        <f>DQ40</f>
        <v>#N/A</v>
      </c>
      <c r="DX41" t="e">
        <f t="shared" si="222" ref="DX41:DX44">DW42-DW41</f>
        <v>#N/A</v>
      </c>
      <c r="DY41" t="e">
        <f t="shared" si="223" ref="DY41:DY43">DX41-DX42</f>
        <v>#N/A</v>
      </c>
    </row>
    <row r="42" spans="8:8" ht="15.75" customHeight="1">
      <c r="E42" s="233" t="str">
        <f>Sheet1!G48</f>
        <v> Sporting JAX </v>
      </c>
      <c r="G42" s="234" t="str">
        <f>Sheet1!F48</f>
        <v> Monterey Bay </v>
      </c>
      <c r="H42" t="s">
        <v>104</v>
      </c>
      <c r="L42" t="s">
        <v>105</v>
      </c>
      <c r="M42" s="234" t="str">
        <f>G42</f>
        <v> Monterey Bay </v>
      </c>
      <c r="N42">
        <f>0</f>
        <v>0.0</v>
      </c>
      <c r="O42">
        <f t="shared" si="224" ref="O42:S42">N42+1</f>
        <v>1.0</v>
      </c>
      <c r="P42">
        <f t="shared" si="224"/>
        <v>2.0</v>
      </c>
      <c r="Q42">
        <f t="shared" si="224"/>
        <v>3.0</v>
      </c>
      <c r="R42">
        <f t="shared" si="224"/>
        <v>4.0</v>
      </c>
      <c r="S42">
        <f t="shared" si="224"/>
        <v>5.0</v>
      </c>
      <c r="U42" s="192">
        <f t="shared" si="225" ref="U42:Y42">POISSON(U41,$T$40,FALSE)*100</f>
        <v>5.158346876939896</v>
      </c>
      <c r="V42" s="192">
        <f t="shared" si="225"/>
        <v>1.94732145531585</v>
      </c>
      <c r="W42" s="192">
        <f t="shared" si="225"/>
        <v>0.6301123110283332</v>
      </c>
      <c r="X42" s="192">
        <f t="shared" si="225"/>
        <v>0.17840471741191485</v>
      </c>
      <c r="Y42" s="192">
        <f t="shared" si="225"/>
        <v>0.044899569860112384</v>
      </c>
      <c r="Z42" s="196">
        <f t="shared" si="226" ref="Z42:Z45">Z41+1</f>
        <v>1.0</v>
      </c>
      <c r="AA42" s="196">
        <v>74.51296913841995</v>
      </c>
      <c r="AB42">
        <f t="shared" si="210"/>
        <v>17.9194638321446</v>
      </c>
      <c r="AC42" s="196">
        <f t="shared" si="211"/>
        <v>12.098477072372901</v>
      </c>
      <c r="AD42" s="233" t="str">
        <f>Sheet1!K48</f>
        <v> Monterey Bay </v>
      </c>
      <c r="AF42" s="234" t="str">
        <f>Sheet1!J48</f>
        <v> Sporting JAX </v>
      </c>
      <c r="AG42" t="s">
        <v>104</v>
      </c>
      <c r="AK42" t="s">
        <v>105</v>
      </c>
      <c r="AL42" s="234" t="str">
        <f>AF42</f>
        <v> Sporting JAX </v>
      </c>
      <c r="AM42">
        <f>0</f>
        <v>0.0</v>
      </c>
      <c r="AN42">
        <f t="shared" si="227" ref="AN42:AR42">AM42+1</f>
        <v>1.0</v>
      </c>
      <c r="AO42">
        <f t="shared" si="227"/>
        <v>2.0</v>
      </c>
      <c r="AP42">
        <f t="shared" si="227"/>
        <v>3.0</v>
      </c>
      <c r="AQ42">
        <f t="shared" si="227"/>
        <v>4.0</v>
      </c>
      <c r="AR42">
        <f t="shared" si="227"/>
        <v>5.0</v>
      </c>
      <c r="AT42" s="192">
        <f t="shared" si="228" ref="AT42:AX42">POISSON(AT41,$AS$40,FALSE)*100</f>
        <v>0.38094302550566794</v>
      </c>
      <c r="AU42" s="192">
        <f t="shared" si="228"/>
        <v>0.06705915172410082</v>
      </c>
      <c r="AV42" s="192">
        <f t="shared" si="228"/>
        <v>0.010118340604091345</v>
      </c>
      <c r="AW42" s="192">
        <f t="shared" si="228"/>
        <v>0.001335883502917278</v>
      </c>
      <c r="AX42" s="192">
        <f t="shared" si="228"/>
        <v>1.567744754637769E-4</v>
      </c>
      <c r="AY42">
        <f t="shared" si="229" ref="AY42:AY45">AY41+1</f>
        <v>1.0</v>
      </c>
      <c r="AZ42">
        <f>SUM(AT40,AU40)</f>
        <v>71.50918568169774</v>
      </c>
      <c r="BA42">
        <f t="shared" si="213"/>
        <v>19.398289645085597</v>
      </c>
      <c r="BB42">
        <f t="shared" si="214"/>
        <v>12.568749470299101</v>
      </c>
      <c r="BC42" s="233" t="str">
        <f>Sheet1!O48</f>
        <v> Monterey Bay </v>
      </c>
      <c r="BE42" s="234" t="str">
        <f>Sheet1!N48</f>
        <v> Sporting JAX </v>
      </c>
      <c r="BF42" t="s">
        <v>104</v>
      </c>
      <c r="BJ42" t="s">
        <v>105</v>
      </c>
      <c r="BK42" s="234" t="str">
        <f>BE42</f>
        <v> Sporting JAX </v>
      </c>
      <c r="BL42">
        <f>0</f>
        <v>0.0</v>
      </c>
      <c r="BM42">
        <f t="shared" si="230" ref="BM42:BQ42">BL42+1</f>
        <v>1.0</v>
      </c>
      <c r="BN42">
        <f t="shared" si="230"/>
        <v>2.0</v>
      </c>
      <c r="BO42">
        <f t="shared" si="230"/>
        <v>3.0</v>
      </c>
      <c r="BP42">
        <f t="shared" si="230"/>
        <v>4.0</v>
      </c>
      <c r="BQ42">
        <f t="shared" si="230"/>
        <v>5.0</v>
      </c>
      <c r="BS42" s="192">
        <f t="shared" si="231" ref="BS42:BW42">POISSON(BS41,$BR$40,FALSE)*100</f>
        <v>0.38094302550566794</v>
      </c>
      <c r="BT42" s="192">
        <f t="shared" si="231"/>
        <v>0.06705915172410082</v>
      </c>
      <c r="BU42" s="192">
        <f t="shared" si="231"/>
        <v>0.010118340604091345</v>
      </c>
      <c r="BV42" s="192">
        <f t="shared" si="231"/>
        <v>0.001335883502917278</v>
      </c>
      <c r="BW42" s="192">
        <f t="shared" si="231"/>
        <v>1.567744754637769E-4</v>
      </c>
      <c r="BX42">
        <f t="shared" si="232" ref="BX42:BX45">BX41+1</f>
        <v>1.0</v>
      </c>
      <c r="BY42">
        <f>SUM(BS40,BT40)</f>
        <v>71.50918568169774</v>
      </c>
      <c r="BZ42">
        <f t="shared" si="216"/>
        <v>19.398289645085597</v>
      </c>
      <c r="CA42">
        <f t="shared" si="217"/>
        <v>12.568749470299101</v>
      </c>
      <c r="CB42" s="233" t="str">
        <f>Sheet1!S48</f>
        <v> Sporting JAX </v>
      </c>
      <c r="CD42" s="234" t="str">
        <f>Sheet1!R48</f>
        <v> Monterey Bay </v>
      </c>
      <c r="CE42" t="s">
        <v>104</v>
      </c>
      <c r="CI42" t="s">
        <v>105</v>
      </c>
      <c r="CJ42" s="234" t="str">
        <f>Sheet1!R48</f>
        <v> Monterey Bay </v>
      </c>
      <c r="CK42">
        <f>0</f>
        <v>0.0</v>
      </c>
      <c r="CL42">
        <f t="shared" si="233" ref="CL42:CP42">CK42+1</f>
        <v>1.0</v>
      </c>
      <c r="CM42">
        <f t="shared" si="233"/>
        <v>2.0</v>
      </c>
      <c r="CN42">
        <f t="shared" si="233"/>
        <v>3.0</v>
      </c>
      <c r="CO42">
        <f t="shared" si="233"/>
        <v>4.0</v>
      </c>
      <c r="CP42">
        <f t="shared" si="233"/>
        <v>5.0</v>
      </c>
      <c r="CR42" s="192">
        <f t="shared" si="234" ref="CR42:CV42">POISSON(CR41,$CQ$40,FALSE)*100</f>
        <v>5.158346876939896</v>
      </c>
      <c r="CS42" s="192">
        <f t="shared" si="234"/>
        <v>1.94732145531585</v>
      </c>
      <c r="CT42" s="192">
        <f t="shared" si="234"/>
        <v>0.6301123110283332</v>
      </c>
      <c r="CU42" s="192">
        <f t="shared" si="234"/>
        <v>0.17840471741191485</v>
      </c>
      <c r="CV42" s="192">
        <f t="shared" si="234"/>
        <v>0.044899569860112384</v>
      </c>
      <c r="CW42">
        <f t="shared" si="235" ref="CW42:CW45">CW41+1</f>
        <v>1.0</v>
      </c>
      <c r="CX42">
        <f>SUM(CR40,CS40)</f>
        <v>33.899261403642406</v>
      </c>
      <c r="CY42">
        <f t="shared" si="219"/>
        <v>26.6334069853334</v>
      </c>
      <c r="CZ42">
        <f t="shared" si="220"/>
        <v>6.524714767463003</v>
      </c>
      <c r="DA42" s="233" t="str">
        <f>Sheet1!W48</f>
        <v> Cork City </v>
      </c>
      <c r="DC42" s="234" t="str">
        <f>Sheet1!V48</f>
        <v> Galway Utd </v>
      </c>
      <c r="DD42" t="s">
        <v>104</v>
      </c>
      <c r="DH42" t="s">
        <v>105</v>
      </c>
      <c r="DI42" s="234" t="str">
        <f>DC42</f>
        <v> Galway Utd </v>
      </c>
      <c r="DJ42">
        <f>0</f>
        <v>0.0</v>
      </c>
      <c r="DK42">
        <f t="shared" si="236" ref="DK42:DO42">DJ42+1</f>
        <v>1.0</v>
      </c>
      <c r="DL42">
        <f t="shared" si="236"/>
        <v>2.0</v>
      </c>
      <c r="DM42">
        <f t="shared" si="236"/>
        <v>3.0</v>
      </c>
      <c r="DN42">
        <f t="shared" si="236"/>
        <v>4.0</v>
      </c>
      <c r="DO42">
        <f t="shared" si="236"/>
        <v>5.0</v>
      </c>
      <c r="DQ42" s="192" t="e">
        <f t="shared" si="237" ref="DQ42:DU42">POISSON(DQ41,$DP$40,FALSE)*100</f>
        <v>#N/A</v>
      </c>
      <c r="DR42" s="192" t="e">
        <f t="shared" si="237"/>
        <v>#N/A</v>
      </c>
      <c r="DS42" s="192" t="e">
        <f t="shared" si="237"/>
        <v>#N/A</v>
      </c>
      <c r="DT42" s="192" t="e">
        <f t="shared" si="237"/>
        <v>#N/A</v>
      </c>
      <c r="DU42" s="192" t="e">
        <f t="shared" si="237"/>
        <v>#N/A</v>
      </c>
      <c r="DV42">
        <f t="shared" si="238" ref="DV42:DV45">DV41+1</f>
        <v>1.0</v>
      </c>
      <c r="DW42" t="e">
        <f>SUM(DQ40,DR40)</f>
        <v>#N/A</v>
      </c>
      <c r="DX42" t="e">
        <f t="shared" si="222"/>
        <v>#N/A</v>
      </c>
      <c r="DY42" t="e">
        <f t="shared" si="223"/>
        <v>#N/A</v>
      </c>
    </row>
    <row r="43" spans="8:8" ht="14.95">
      <c r="E43" s="201">
        <v>0.0</v>
      </c>
      <c r="F43" s="202" t="s">
        <v>81</v>
      </c>
      <c r="G43" s="203">
        <v>0.0</v>
      </c>
      <c r="H43">
        <f t="shared" si="239" ref="H43:H74">POISSON(E43,$C$14,FALSE)*POISSON(G43,$D$14,FALSE)</f>
        <v>0.010779534789108277</v>
      </c>
      <c r="I43">
        <f t="shared" si="240" ref="I43:I74">RANK(H43,$H$43:$H$74,0)</f>
        <v>27.0</v>
      </c>
      <c r="J43">
        <f>IF(J62="away",J57-(J61*3),IF(J62="home",J57-(J60*3),J57))</f>
        <v>7.0</v>
      </c>
      <c r="L43" s="235" t="str">
        <f>E42</f>
        <v> Sporting JAX </v>
      </c>
      <c r="M43" t="s">
        <v>106</v>
      </c>
      <c r="N43">
        <f t="shared" si="241" ref="N43:S43">POISSON(N42,$D$14,FALSE)</f>
        <v>0.0990581909871694</v>
      </c>
      <c r="O43">
        <f t="shared" si="241"/>
        <v>0.22902727390868047</v>
      </c>
      <c r="P43">
        <f t="shared" si="241"/>
        <v>0.2647610039680405</v>
      </c>
      <c r="Q43">
        <f t="shared" si="241"/>
        <v>0.20404670013265155</v>
      </c>
      <c r="R43">
        <f t="shared" si="241"/>
        <v>0.11794143173757385</v>
      </c>
      <c r="S43">
        <f t="shared" si="241"/>
        <v>0.05453724588053904</v>
      </c>
      <c r="W43" t="s">
        <v>107</v>
      </c>
      <c r="X43" t="s">
        <v>108</v>
      </c>
      <c r="Z43" s="196">
        <f t="shared" si="226"/>
        <v>2.0</v>
      </c>
      <c r="AA43" s="196">
        <v>92.43243297056463</v>
      </c>
      <c r="AB43">
        <f t="shared" si="210"/>
        <v>5.820986759771699</v>
      </c>
      <c r="AC43" s="196">
        <f t="shared" si="211"/>
        <v>4.4028129024998</v>
      </c>
      <c r="AD43" s="201">
        <v>0.0</v>
      </c>
      <c r="AE43" s="202" t="s">
        <v>81</v>
      </c>
      <c r="AF43" s="203">
        <v>0.0</v>
      </c>
      <c r="AG43">
        <f t="shared" si="242" ref="AG43:AG74">POISSON(AD43,$C$15,FALSE)*POISSON(AF43,$D$15,FALSE)</f>
        <v>0.12094551112382598</v>
      </c>
      <c r="AH43">
        <f t="shared" si="243" ref="AH43:AH74">RANK(AG43,$AG$43:$AG$74,0)</f>
        <v>3.0</v>
      </c>
      <c r="AI43">
        <f>IF(AI62="away",AI57-(AI61*3),IF(AI62="home",AI57-(AI60*3),AI57))</f>
        <v>8.0</v>
      </c>
      <c r="AK43" s="235" t="str">
        <f>AD42</f>
        <v> Monterey Bay </v>
      </c>
      <c r="AL43" t="s">
        <v>106</v>
      </c>
      <c r="AM43">
        <f t="shared" si="244" ref="AM43:AR43">POISSON(AM42,$D$15,FALSE)</f>
        <v>0.4452525995597982</v>
      </c>
      <c r="AN43">
        <f t="shared" si="244"/>
        <v>0.36025989740747105</v>
      </c>
      <c r="AO43">
        <f t="shared" si="244"/>
        <v>0.1457455765652536</v>
      </c>
      <c r="AP43">
        <f t="shared" si="244"/>
        <v>0.03930823874874747</v>
      </c>
      <c r="AQ43">
        <f t="shared" si="244"/>
        <v>0.00795120683904636</v>
      </c>
      <c r="AR43">
        <f t="shared" si="244"/>
        <v>0.0012866857882165902</v>
      </c>
      <c r="AV43" t="s">
        <v>107</v>
      </c>
      <c r="AW43" t="s">
        <v>108</v>
      </c>
      <c r="AY43">
        <f t="shared" si="229"/>
        <v>2.0</v>
      </c>
      <c r="AZ43">
        <f>SUM(AT40,AU40,AV40)</f>
        <v>90.90747532678326</v>
      </c>
      <c r="BA43">
        <f t="shared" si="213"/>
        <v>6.829540174786501</v>
      </c>
      <c r="BB43">
        <f t="shared" si="214"/>
        <v>5.02618715298391</v>
      </c>
      <c r="BC43" s="201">
        <v>0.0</v>
      </c>
      <c r="BD43" s="202" t="s">
        <v>81</v>
      </c>
      <c r="BE43" s="203">
        <v>0.0</v>
      </c>
      <c r="BF43">
        <f t="shared" si="245" ref="BF43:BF74">POISSON(BC43,$C$16,FALSE)*POISSON(BE43,$D$16,FALSE)</f>
        <v>0.12094551112382598</v>
      </c>
      <c r="BG43">
        <f t="shared" si="246" ref="BG43:BG74">RANK(BF43,$BF$43:$BF$74,0)</f>
        <v>3.0</v>
      </c>
      <c r="BH43">
        <f>IF(BH62="away",BH57-(BH61*3),IF(BH62="home",BH57-(BH60*3),BH57))</f>
        <v>8.0</v>
      </c>
      <c r="BJ43" s="235" t="str">
        <f>BC42</f>
        <v> Monterey Bay </v>
      </c>
      <c r="BK43" t="s">
        <v>106</v>
      </c>
      <c r="BL43">
        <f t="shared" si="247" ref="BL43:BQ43">POISSON(BL42,$D$16,FALSE)</f>
        <v>0.4452525995597982</v>
      </c>
      <c r="BM43">
        <f t="shared" si="247"/>
        <v>0.36025989740747105</v>
      </c>
      <c r="BN43">
        <f t="shared" si="247"/>
        <v>0.1457455765652536</v>
      </c>
      <c r="BO43">
        <f t="shared" si="247"/>
        <v>0.03930823874874747</v>
      </c>
      <c r="BP43">
        <f t="shared" si="247"/>
        <v>0.00795120683904636</v>
      </c>
      <c r="BQ43">
        <f t="shared" si="247"/>
        <v>0.0012866857882165902</v>
      </c>
      <c r="BU43" t="s">
        <v>107</v>
      </c>
      <c r="BV43" t="s">
        <v>108</v>
      </c>
      <c r="BX43">
        <f t="shared" si="232"/>
        <v>2.0</v>
      </c>
      <c r="BY43">
        <f>SUM(BS40,BT40,BU40)</f>
        <v>90.90747532678326</v>
      </c>
      <c r="BZ43">
        <f t="shared" si="216"/>
        <v>6.829540174786501</v>
      </c>
      <c r="CA43">
        <f t="shared" si="217"/>
        <v>5.02618715298391</v>
      </c>
      <c r="CB43" s="201">
        <v>0.0</v>
      </c>
      <c r="CC43" s="202" t="s">
        <v>81</v>
      </c>
      <c r="CD43" s="203">
        <v>0.0</v>
      </c>
      <c r="CE43">
        <f t="shared" si="248" ref="CE43:CE74">POISSON(CB43,$C$17,FALSE)*POISSON(CD43,$D$17,FALSE)</f>
        <v>0.010779534789108277</v>
      </c>
      <c r="CF43">
        <f t="shared" si="249" ref="CF43:CF74">RANK(CE43,$CE$43:$CE$74,0)</f>
        <v>27.0</v>
      </c>
      <c r="CG43">
        <f>IF(CG62="away",CG57-(CG61*3),IF(CG62="home",CG57-(CG60*3),CG57))</f>
        <v>7.0</v>
      </c>
      <c r="CI43" s="235" t="str">
        <f>Sheet1!S48</f>
        <v> Sporting JAX </v>
      </c>
      <c r="CJ43" t="s">
        <v>106</v>
      </c>
      <c r="CK43">
        <f t="shared" si="250" ref="CK43:CP43">POISSON(CK42,$D$17,FALSE)</f>
        <v>0.0990581909871694</v>
      </c>
      <c r="CL43">
        <f t="shared" si="250"/>
        <v>0.22902727390868047</v>
      </c>
      <c r="CM43">
        <f t="shared" si="250"/>
        <v>0.2647610039680405</v>
      </c>
      <c r="CN43">
        <f t="shared" si="250"/>
        <v>0.20404670013265155</v>
      </c>
      <c r="CO43">
        <f t="shared" si="250"/>
        <v>0.11794143173757385</v>
      </c>
      <c r="CP43">
        <f t="shared" si="250"/>
        <v>0.05453724588053904</v>
      </c>
      <c r="CT43" t="s">
        <v>107</v>
      </c>
      <c r="CU43" t="s">
        <v>108</v>
      </c>
      <c r="CW43">
        <f t="shared" si="235"/>
        <v>2.0</v>
      </c>
      <c r="CX43">
        <f>SUM(CR40,CS40,CT40)</f>
        <v>60.53266838897579</v>
      </c>
      <c r="CY43">
        <f t="shared" si="219"/>
        <v>20.108692217870406</v>
      </c>
      <c r="CZ43">
        <f t="shared" si="220"/>
        <v>8.721879137523999</v>
      </c>
      <c r="DA43" s="201">
        <v>0.0</v>
      </c>
      <c r="DB43" s="202" t="s">
        <v>81</v>
      </c>
      <c r="DC43" s="203">
        <v>0.0</v>
      </c>
      <c r="DD43" t="e">
        <f t="shared" si="251" ref="DD43:DD74">POISSON(DA43,$C$18,FALSE)*POISSON(DC43,$D$18,FALSE)</f>
        <v>#N/A</v>
      </c>
      <c r="DE43" t="e">
        <f t="shared" si="252" ref="DE43:DE74">RANK(DD43,$DD$43:$DD$74,0)</f>
        <v>#N/A</v>
      </c>
      <c r="DF43" t="e">
        <f>IF(DF62="away",DF57-(DF61*3),IF(DF62="home",DF57-(DF60*3),DF57))</f>
        <v>#N/A</v>
      </c>
      <c r="DH43" s="235" t="str">
        <f>DA42</f>
        <v> Cork City </v>
      </c>
      <c r="DI43" t="s">
        <v>106</v>
      </c>
      <c r="DJ43" t="e">
        <f t="shared" si="253" ref="DJ43:DO43">POISSON(DJ42,$D$18,FALSE)</f>
        <v>#N/A</v>
      </c>
      <c r="DK43" t="e">
        <f t="shared" si="253"/>
        <v>#N/A</v>
      </c>
      <c r="DL43" t="e">
        <f t="shared" si="253"/>
        <v>#N/A</v>
      </c>
      <c r="DM43" t="e">
        <f t="shared" si="253"/>
        <v>#N/A</v>
      </c>
      <c r="DN43" t="e">
        <f t="shared" si="253"/>
        <v>#N/A</v>
      </c>
      <c r="DO43" t="e">
        <f t="shared" si="253"/>
        <v>#N/A</v>
      </c>
      <c r="DS43" t="s">
        <v>107</v>
      </c>
      <c r="DT43" t="s">
        <v>108</v>
      </c>
      <c r="DV43">
        <f t="shared" si="238"/>
        <v>2.0</v>
      </c>
      <c r="DW43" t="e">
        <f>SUM(DQ40,DR40,DS40)</f>
        <v>#N/A</v>
      </c>
      <c r="DX43" t="e">
        <f t="shared" si="222"/>
        <v>#N/A</v>
      </c>
      <c r="DY43" t="e">
        <f t="shared" si="223"/>
        <v>#N/A</v>
      </c>
    </row>
    <row r="44" spans="8:8" ht="15.75" customHeight="1">
      <c r="E44" s="201">
        <v>0.0</v>
      </c>
      <c r="F44" s="202" t="s">
        <v>81</v>
      </c>
      <c r="G44" s="203">
        <v>1.0</v>
      </c>
      <c r="H44">
        <f t="shared" si="239"/>
        <v>0.0249227998427008</v>
      </c>
      <c r="I44">
        <f t="shared" si="240"/>
        <v>15.0</v>
      </c>
      <c r="J44" t="str">
        <f>IF(I43=1,"draw",IF(I44=1,"away",IF(I45=1,"draw 1-1",IF(I46=1,"home",IF(I47=1,"away 0-2",IF(I48=1,"away 1-2",IF(I49=1,"home 2-1","rountime")))))))</f>
        <v>rountime</v>
      </c>
      <c r="K44" t="str">
        <f t="shared" si="254" ref="K44:K47">IF(OR(J44="away",J44="home",J44="draw"),"small",IF(OR(J44="away",J44="home",J44="draw",J44="draw 1-1",J44="away 0-2"),"under",IF(J44="rountime","RT",0)))</f>
        <v>RT</v>
      </c>
      <c r="L44">
        <f>0</f>
        <v>0.0</v>
      </c>
      <c r="M44">
        <f t="shared" si="255" ref="M44:M49">POISSON(L44,$C$14,FALSE)</f>
        <v>0.10882022659291754</v>
      </c>
      <c r="N44">
        <f t="shared" si="256" ref="N44:N49">M44*$N$43</f>
        <v>0.010779534789108277</v>
      </c>
      <c r="O44">
        <f t="shared" si="257" ref="O44:O49">M44*$O$43</f>
        <v>0.0249227998427008</v>
      </c>
      <c r="P44">
        <f t="shared" si="258" ref="P44:P49">M44*$P$43</f>
        <v>0.028811352444770504</v>
      </c>
      <c r="Q44">
        <f t="shared" si="259" ref="Q44:Q49">M44*$Q$43</f>
        <v>0.02220440814397224</v>
      </c>
      <c r="R44">
        <f t="shared" si="260" ref="R44:R49">M44*$R$43</f>
        <v>0.012834413326375903</v>
      </c>
      <c r="S44">
        <f t="shared" si="261" ref="S44:S49">M44*$S$43</f>
        <v>0.005934755454473918</v>
      </c>
      <c r="T44" s="192">
        <f>SUM(R44:S47,S48,Q44,Q45,Q46,P45,P44,O44)*100</f>
        <v>39.040653153972855</v>
      </c>
      <c r="V44">
        <v>0.5</v>
      </c>
      <c r="W44">
        <f>N44</f>
        <v>0.010779534789108277</v>
      </c>
      <c r="X44">
        <f>SUM(O44:S49,N45:N49)</f>
        <v>0.9336029010603051</v>
      </c>
      <c r="Y44">
        <f>SUM(N44:S49)</f>
        <v>0.9443824358494133</v>
      </c>
      <c r="Z44" s="196">
        <f t="shared" si="226"/>
        <v>3.0</v>
      </c>
      <c r="AA44" s="196">
        <v>98.25341973033626</v>
      </c>
      <c r="AB44">
        <f t="shared" si="210"/>
        <v>1.4181738572718956</v>
      </c>
      <c r="AC44">
        <f>IF(AND(AC42&gt;AC41,AC43),2.5,IF(AND(AC41&gt;AC42,AC43),1.5,IF(AND(AC43&gt;AC41,AC42),3.5)))</f>
        <v>1.5</v>
      </c>
      <c r="AD44" s="201">
        <v>0.0</v>
      </c>
      <c r="AE44" s="202" t="s">
        <v>81</v>
      </c>
      <c r="AF44" s="203">
        <v>1.0</v>
      </c>
      <c r="AG44">
        <f t="shared" si="242"/>
        <v>0.09785864804032869</v>
      </c>
      <c r="AH44">
        <f t="shared" si="243"/>
        <v>4.0</v>
      </c>
      <c r="AI44" t="str">
        <f>IF(AH43=1,"draw",IF(AH44=1,"away",IF(AH45=1,"draw 1-1",IF(AH46=1,"home",IF(AH47=1,"away 0-2",IF(AH48=1,"away 1-2",IF(AH49=1,"home 2-1","rountime")))))))</f>
        <v>home</v>
      </c>
      <c r="AJ44" t="str">
        <f t="shared" si="262" ref="AJ44:AJ47">IF(OR(AI44="away",AI44="home",AI44="draw"),"small",IF(OR(AI44="away",AI44="home",AI44="draw",AI44="draw 1-1",AI44="away 0-2"),"under",IF(AI44="rountime","RT",0)))</f>
        <v>small</v>
      </c>
      <c r="AK44">
        <f>0</f>
        <v>0.0</v>
      </c>
      <c r="AL44">
        <f t="shared" si="263" ref="AL44:AL49">POISSON(AK44,$C$15,FALSE)</f>
        <v>0.27163347556735107</v>
      </c>
      <c r="AM44">
        <f t="shared" si="264" ref="AM44:AM49">AL44*$AM$43</f>
        <v>0.12094551112382598</v>
      </c>
      <c r="AN44">
        <f t="shared" si="265" ref="AN44:AN49">AL44*$AN$43</f>
        <v>0.09785864804032869</v>
      </c>
      <c r="AO44">
        <f t="shared" si="266" ref="AO44:AO49">AL44*$AO$43</f>
        <v>0.03958937751098731</v>
      </c>
      <c r="AP44">
        <f t="shared" si="267" ref="AP44:AP49">AL44*$AP$43</f>
        <v>0.010677433509753498</v>
      </c>
      <c r="AQ44">
        <f t="shared" si="268" ref="AQ44:AQ49">AL44*$AQ$43</f>
        <v>0.0021598139486450544</v>
      </c>
      <c r="AR44">
        <f t="shared" si="269" ref="AR44:AR49">AL44*$AR$43</f>
        <v>3.49506932616389E-4</v>
      </c>
      <c r="AS44" s="192">
        <f>SUM(AQ44:AR47,AR48,AP44,AP45,AP46,AO45,AO44,AN44)*100</f>
        <v>23.15853427676453</v>
      </c>
      <c r="AU44">
        <v>0.5</v>
      </c>
      <c r="AV44">
        <f>AM44</f>
        <v>0.12094551112382598</v>
      </c>
      <c r="AW44">
        <f>SUM(AN44:AR49,AM45:AM49)</f>
        <v>0.8766005592552197</v>
      </c>
      <c r="AX44">
        <f>SUM(AM44:AR49)</f>
        <v>0.9975460703790454</v>
      </c>
      <c r="AY44">
        <f t="shared" si="229"/>
        <v>3.0</v>
      </c>
      <c r="AZ44">
        <f>SUM(AT40,AU40,AV40,AW40)</f>
        <v>97.73701550156976</v>
      </c>
      <c r="BA44">
        <f t="shared" si="213"/>
        <v>1.803353021802593</v>
      </c>
      <c r="BB44">
        <f>IF(AND(BB42&gt;BB41,BB43),2.5,IF(AND(BB41&gt;BB42,BB43),1.5,IF(AND(BB43&gt;BB41,BB42),3.5)))</f>
        <v>1.5</v>
      </c>
      <c r="BC44" s="201">
        <v>0.0</v>
      </c>
      <c r="BD44" s="202" t="s">
        <v>81</v>
      </c>
      <c r="BE44" s="203">
        <v>1.0</v>
      </c>
      <c r="BF44">
        <f t="shared" si="245"/>
        <v>0.09785864804032869</v>
      </c>
      <c r="BG44">
        <f t="shared" si="246"/>
        <v>4.0</v>
      </c>
      <c r="BH44" t="str">
        <f>IF(BG43=1,"draw",IF(BG44=1,"away",IF(BG45=1,"draw 1-1",IF(BG46=1,"home",IF(BG47=1,"away 0-2",IF(BG48=1,"away 1-2",IF(BG49=1,"home 2-1","rountime")))))))</f>
        <v>home</v>
      </c>
      <c r="BI44" t="str">
        <f t="shared" si="270" ref="BI44:BI47">IF(OR(BH44="away",BH44="home",BH44="draw"),"small",IF(OR(BH44="away",BH44="home",BH44="draw",BH44="draw 1-1",BH44="away 0-2"),"under",IF(BH44="rountime","RT",0)))</f>
        <v>small</v>
      </c>
      <c r="BJ44">
        <f>0</f>
        <v>0.0</v>
      </c>
      <c r="BK44">
        <f t="shared" si="271" ref="BK44:BK49">POISSON(BJ44,$C$16,FALSE)</f>
        <v>0.27163347556735107</v>
      </c>
      <c r="BL44">
        <f t="shared" si="272" ref="BL44:BL49">BK44*$BL$43</f>
        <v>0.12094551112382598</v>
      </c>
      <c r="BM44">
        <f t="shared" si="273" ref="BM44:BM49">BK44*$BM$43</f>
        <v>0.09785864804032869</v>
      </c>
      <c r="BN44">
        <f t="shared" si="274" ref="BN44:BN49">BK44*$BN$43</f>
        <v>0.03958937751098731</v>
      </c>
      <c r="BO44">
        <f t="shared" si="275" ref="BO44:BO49">BK44*$BO$43</f>
        <v>0.010677433509753498</v>
      </c>
      <c r="BP44">
        <f t="shared" si="276" ref="BP44:BP49">BK44*$BP$43</f>
        <v>0.0021598139486450544</v>
      </c>
      <c r="BQ44">
        <f t="shared" si="277" ref="BQ44:BQ49">BK44*$BQ$43</f>
        <v>3.49506932616389E-4</v>
      </c>
      <c r="BR44" s="192">
        <f>SUM(BP44:BQ47,BQ48,BO44,BO45,BO46,BN45,BN44,BM44)*100</f>
        <v>23.15853427676453</v>
      </c>
      <c r="BT44">
        <v>0.5</v>
      </c>
      <c r="BU44">
        <f>BL44</f>
        <v>0.12094551112382598</v>
      </c>
      <c r="BV44">
        <f>SUM(BM44:BQ49,BL45:BL49)</f>
        <v>0.8766005592552197</v>
      </c>
      <c r="BW44">
        <f>SUM(BL44:BQ49)</f>
        <v>0.9975460703790454</v>
      </c>
      <c r="BX44">
        <f t="shared" si="232"/>
        <v>3.0</v>
      </c>
      <c r="BY44">
        <f>SUM(BS40,BT40,BU40,BV40)</f>
        <v>97.73701550156976</v>
      </c>
      <c r="BZ44">
        <f t="shared" si="216"/>
        <v>1.803353021802593</v>
      </c>
      <c r="CA44">
        <f>IF(AND(CA42&gt;CA41,CA43),2.5,IF(AND(CA41&gt;CA42,CA43),1.5,IF(AND(CA43&gt;CA41,CA42),3.5)))</f>
        <v>1.5</v>
      </c>
      <c r="CB44" s="201">
        <v>0.0</v>
      </c>
      <c r="CC44" s="202" t="s">
        <v>81</v>
      </c>
      <c r="CD44" s="203">
        <v>1.0</v>
      </c>
      <c r="CE44">
        <f t="shared" si="248"/>
        <v>0.0249227998427008</v>
      </c>
      <c r="CF44">
        <f t="shared" si="249"/>
        <v>15.0</v>
      </c>
      <c r="CG44" t="str">
        <f>IF(CF43=1,"draw",IF(CF44=1,"away",IF(CF45=1,"draw 1-1",IF(CF46=1,"home",IF(CF47=1,"away 0-2",IF(CF48=1,"away 1-2",IF(CF49=1,"home 2-1","rountime")))))))</f>
        <v>rountime</v>
      </c>
      <c r="CH44" t="str">
        <f t="shared" si="278" ref="CH44:CH47">IF(OR(CG44="away",CG44="home",CG44="draw"),"small",IF(OR(CG44="away",CG44="home",CG44="draw",CG44="draw 1-1",CG44="away 0-2"),"under",IF(CG44="rountime","RT",0)))</f>
        <v>RT</v>
      </c>
      <c r="CI44">
        <f>0</f>
        <v>0.0</v>
      </c>
      <c r="CJ44">
        <f t="shared" si="279" ref="CJ44:CJ49">POISSON(CI44,$C$17,FALSE)</f>
        <v>0.10882022659291754</v>
      </c>
      <c r="CK44">
        <f t="shared" si="280" ref="CK44:CK49">CJ44*$CK$43</f>
        <v>0.010779534789108277</v>
      </c>
      <c r="CL44">
        <f t="shared" si="281" ref="CL44:CL49">CJ44*$CL$43</f>
        <v>0.0249227998427008</v>
      </c>
      <c r="CM44">
        <f t="shared" si="282" ref="CM44:CM49">CJ44*$CM$43</f>
        <v>0.028811352444770504</v>
      </c>
      <c r="CN44">
        <f t="shared" si="283" ref="CN44:CN49">CJ44*$CN$43</f>
        <v>0.02220440814397224</v>
      </c>
      <c r="CO44">
        <f t="shared" si="284" ref="CO44:CO49">CJ44*$CO$43</f>
        <v>0.012834413326375903</v>
      </c>
      <c r="CP44">
        <f t="shared" si="285" ref="CP44:CP49">CJ44*$CP$43</f>
        <v>0.005934755454473918</v>
      </c>
      <c r="CQ44" s="192">
        <f>SUM(CO44:CP47,CP48,CN44,CN45,CN46,CM45,CM44,CL44)*100</f>
        <v>39.040653153972855</v>
      </c>
      <c r="CS44">
        <v>0.5</v>
      </c>
      <c r="CT44">
        <f>CK44</f>
        <v>0.010779534789108277</v>
      </c>
      <c r="CU44">
        <f>SUM(CL44:CP49,CK45:CK49)</f>
        <v>0.9336029010603051</v>
      </c>
      <c r="CV44">
        <f>SUM(CK44:CP49)</f>
        <v>0.9443824358494133</v>
      </c>
      <c r="CW44">
        <f t="shared" si="235"/>
        <v>3.0</v>
      </c>
      <c r="CX44">
        <f>SUM(CR40,CS40,CT40,CU40)</f>
        <v>80.64136060684623</v>
      </c>
      <c r="CY44">
        <f t="shared" si="219"/>
        <v>11.3868130803464</v>
      </c>
      <c r="CZ44">
        <f>IF(AND(CZ42&gt;CZ41,CZ43),2.5,IF(AND(CZ41&gt;CZ42,CZ43),1.5,IF(AND(CZ43&gt;CZ41,CZ42),3.5)))</f>
        <v>2.5</v>
      </c>
      <c r="DA44" s="201">
        <v>0.0</v>
      </c>
      <c r="DB44" s="202" t="s">
        <v>81</v>
      </c>
      <c r="DC44" s="203">
        <v>1.0</v>
      </c>
      <c r="DD44" t="e">
        <f t="shared" si="251"/>
        <v>#N/A</v>
      </c>
      <c r="DE44" t="e">
        <f t="shared" si="252"/>
        <v>#N/A</v>
      </c>
      <c r="DF44" t="e">
        <f>IF(DE43=1,"draw",IF(DE44=1,"away",IF(DE45=1,"draw 1-1",IF(DE46=1,"home",IF(DE47=1,"away 0-2",IF(DE48=1,"away 1-2",IF(DE49=1,"home 2-1","rountime")))))))</f>
        <v>#N/A</v>
      </c>
      <c r="DG44" t="e">
        <f t="shared" si="286" ref="DG44:DG47">IF(OR(DF44="away",DF44="home",DF44="draw"),"small",IF(OR(DF44="away",DF44="home",DF44="draw",DF44="draw 1-1",DF44="away 0-2"),"under",IF(DF44="rountime","RT",0)))</f>
        <v>#N/A</v>
      </c>
      <c r="DH44">
        <f>0</f>
        <v>0.0</v>
      </c>
      <c r="DI44" t="e">
        <f t="shared" si="287" ref="DI44:DI49">POISSON(DH44,$C$18,FALSE)</f>
        <v>#N/A</v>
      </c>
      <c r="DJ44" t="e">
        <f t="shared" si="288" ref="DJ44:DJ49">DI44*$DJ$43</f>
        <v>#N/A</v>
      </c>
      <c r="DK44" t="e">
        <f t="shared" si="289" ref="DK44:DK49">DI44*$DK$43</f>
        <v>#N/A</v>
      </c>
      <c r="DL44" t="e">
        <f t="shared" si="290" ref="DL44:DL49">DI44*$DL$43</f>
        <v>#N/A</v>
      </c>
      <c r="DM44" t="e">
        <f t="shared" si="291" ref="DM44:DM49">DI44*$DM$43</f>
        <v>#N/A</v>
      </c>
      <c r="DN44" t="e">
        <f t="shared" si="292" ref="DN44:DN49">DI44*$DN$43</f>
        <v>#N/A</v>
      </c>
      <c r="DO44" t="e">
        <f t="shared" si="293" ref="DO44:DO49">DI44*$DO$43</f>
        <v>#N/A</v>
      </c>
      <c r="DP44" s="192" t="e">
        <f>SUM(DN44:DO47,DO48,DM44,DM45,DM46,DL45,DL44,DK44)*100</f>
        <v>#N/A</v>
      </c>
      <c r="DR44">
        <v>0.5</v>
      </c>
      <c r="DS44" t="e">
        <f>DJ44</f>
        <v>#N/A</v>
      </c>
      <c r="DT44" t="e">
        <f>SUM(DK44:DO49,DJ45:DJ49)</f>
        <v>#N/A</v>
      </c>
      <c r="DU44" t="e">
        <f>SUM(DJ44:DO49)</f>
        <v>#N/A</v>
      </c>
      <c r="DV44">
        <f t="shared" si="238"/>
        <v>3.0</v>
      </c>
      <c r="DW44" t="e">
        <f>SUM(DQ40,DR40,DS40,DT40)</f>
        <v>#N/A</v>
      </c>
      <c r="DX44" t="e">
        <f t="shared" si="222"/>
        <v>#N/A</v>
      </c>
      <c r="DY44" t="e">
        <f>IF(AND(DY42&gt;DY41,DY43),2.5,IF(AND(DY41&gt;DY42,DY43),1.5,IF(AND(DY43&gt;DY41,DY42),3.5)))</f>
        <v>#N/A</v>
      </c>
    </row>
    <row r="45" spans="8:8" ht="15.75" customHeight="1">
      <c r="E45" s="201">
        <v>1.0</v>
      </c>
      <c r="F45" s="202" t="s">
        <v>81</v>
      </c>
      <c r="G45" s="203">
        <v>1.0</v>
      </c>
      <c r="H45">
        <f t="shared" si="239"/>
        <v>0.055280216960549876</v>
      </c>
      <c r="I45">
        <f t="shared" si="240"/>
        <v>4.0</v>
      </c>
      <c r="J45" t="str">
        <f>IF(I43=2,"draw",IF(I44=2,"away",IF(I45=2,"draw 1-1",IF(I46=2,"home",IF(I47=2,"away 0-2",IF(I48=2,"away 1-2",IF(I49=2,"home 2-1","rountime")))))))</f>
        <v>away 1-2</v>
      </c>
      <c r="K45">
        <f t="shared" si="254"/>
        <v>0.0</v>
      </c>
      <c r="L45">
        <f t="shared" si="294" ref="L45:L49">L44+1</f>
        <v>1.0</v>
      </c>
      <c r="M45">
        <f t="shared" si="255"/>
        <v>0.24136958021249308</v>
      </c>
      <c r="N45">
        <f t="shared" si="256"/>
        <v>0.023909633975182046</v>
      </c>
      <c r="O45">
        <f t="shared" si="257"/>
        <v>0.055280216960549876</v>
      </c>
      <c r="P45">
        <f t="shared" si="258"/>
        <v>0.06390525238440414</v>
      </c>
      <c r="Q45">
        <f t="shared" si="259"/>
        <v>0.04925066635476256</v>
      </c>
      <c r="R45">
        <f t="shared" si="260"/>
        <v>0.028467473868158608</v>
      </c>
      <c r="S45">
        <f t="shared" si="261"/>
        <v>0.013163632144131226</v>
      </c>
      <c r="V45">
        <f t="shared" si="295" ref="V45:V48">V44+1</f>
        <v>1.5</v>
      </c>
      <c r="W45">
        <f>SUM(N44,O44,N45)</f>
        <v>0.059611968606991125</v>
      </c>
      <c r="X45">
        <f t="shared" si="296" ref="X45:X48">$Y$44-W45</f>
        <v>0.8847704672424218</v>
      </c>
      <c r="Z45" s="196">
        <f t="shared" si="226"/>
        <v>4.0</v>
      </c>
      <c r="AA45" s="196">
        <v>99.67159358760819</v>
      </c>
      <c r="AD45" s="201">
        <v>1.0</v>
      </c>
      <c r="AE45" s="202" t="s">
        <v>81</v>
      </c>
      <c r="AF45" s="203">
        <v>1.0</v>
      </c>
      <c r="AG45">
        <f t="shared" si="242"/>
        <v>0.12753933625398606</v>
      </c>
      <c r="AH45">
        <f t="shared" si="243"/>
        <v>2.0</v>
      </c>
      <c r="AI45" t="str">
        <f>IF(AH43=2,"draw",IF(AH44=2,"away",IF(AH45=2,"draw 1-1",IF(AH46=2,"home",IF(AH47=2,"away 0-2",IF(AH48=2,"away 1-2",IF(AH49=2,"home 2-1","rountime")))))))</f>
        <v>draw 1-1</v>
      </c>
      <c r="AJ45" t="str">
        <f t="shared" si="262"/>
        <v>under</v>
      </c>
      <c r="AK45">
        <f t="shared" si="297" ref="AK45:AK49">AK44+1</f>
        <v>1.0</v>
      </c>
      <c r="AL45">
        <f t="shared" si="263"/>
        <v>0.3540203535608433</v>
      </c>
      <c r="AM45">
        <f t="shared" si="264"/>
        <v>0.15762848272004434</v>
      </c>
      <c r="AN45">
        <f t="shared" si="265"/>
        <v>0.12753933625398606</v>
      </c>
      <c r="AO45">
        <f t="shared" si="266"/>
        <v>0.05159690054556004</v>
      </c>
      <c r="AP45">
        <f t="shared" si="267"/>
        <v>0.013915916579685621</v>
      </c>
      <c r="AQ45">
        <f t="shared" si="268"/>
        <v>0.0028148890563945883</v>
      </c>
      <c r="AR45">
        <f t="shared" si="269"/>
        <v>4.5551295766614965E-4</v>
      </c>
      <c r="AU45">
        <f t="shared" si="298" ref="AU45:AU48">AU44+1</f>
        <v>1.5</v>
      </c>
      <c r="AV45">
        <f>SUM(AM44,AN44,AM45)</f>
        <v>0.376432641884199</v>
      </c>
      <c r="AW45">
        <f>AX44-AV45</f>
        <v>0.621113428494846</v>
      </c>
      <c r="AY45">
        <f t="shared" si="229"/>
        <v>4.0</v>
      </c>
      <c r="AZ45">
        <f>SUM(AT40,AU40,AV40,AW40,AX40)</f>
        <v>99.54036852337236</v>
      </c>
      <c r="BC45" s="201">
        <v>1.0</v>
      </c>
      <c r="BD45" s="202" t="s">
        <v>81</v>
      </c>
      <c r="BE45" s="203">
        <v>1.0</v>
      </c>
      <c r="BF45">
        <f t="shared" si="245"/>
        <v>0.12753933625398606</v>
      </c>
      <c r="BG45">
        <f t="shared" si="246"/>
        <v>2.0</v>
      </c>
      <c r="BH45" t="str">
        <f>IF(BG43=2,"draw",IF(BG44=2,"away",IF(BG45=2,"draw 1-1",IF(BG46=2,"home",IF(BG47=2,"away 0-2",IF(BG48=2,"away 1-2",IF(BG49=2,"home 2-1","rountime")))))))</f>
        <v>draw 1-1</v>
      </c>
      <c r="BI45" t="str">
        <f t="shared" si="270"/>
        <v>under</v>
      </c>
      <c r="BJ45">
        <f t="shared" si="299" ref="BJ45:BJ49">BJ44+1</f>
        <v>1.0</v>
      </c>
      <c r="BK45">
        <f t="shared" si="271"/>
        <v>0.3540203535608433</v>
      </c>
      <c r="BL45">
        <f t="shared" si="272"/>
        <v>0.15762848272004434</v>
      </c>
      <c r="BM45">
        <f t="shared" si="273"/>
        <v>0.12753933625398606</v>
      </c>
      <c r="BN45">
        <f t="shared" si="274"/>
        <v>0.05159690054556004</v>
      </c>
      <c r="BO45">
        <f t="shared" si="275"/>
        <v>0.013915916579685621</v>
      </c>
      <c r="BP45">
        <f t="shared" si="276"/>
        <v>0.0028148890563945883</v>
      </c>
      <c r="BQ45">
        <f t="shared" si="277"/>
        <v>4.5551295766614965E-4</v>
      </c>
      <c r="BT45">
        <f t="shared" si="300" ref="BT45:BT48">BT44+1</f>
        <v>1.5</v>
      </c>
      <c r="BU45">
        <f>SUM(BL44,BM44,BL45)</f>
        <v>0.376432641884199</v>
      </c>
      <c r="BV45">
        <f>BW44-BU45</f>
        <v>0.621113428494846</v>
      </c>
      <c r="BX45">
        <f t="shared" si="232"/>
        <v>4.0</v>
      </c>
      <c r="BY45">
        <f>SUM(BS40,BT40,BU40,BV40,BW40)</f>
        <v>99.54036852337236</v>
      </c>
      <c r="CB45" s="201">
        <v>1.0</v>
      </c>
      <c r="CC45" s="202" t="s">
        <v>81</v>
      </c>
      <c r="CD45" s="203">
        <v>1.0</v>
      </c>
      <c r="CE45">
        <f t="shared" si="248"/>
        <v>0.055280216960549876</v>
      </c>
      <c r="CF45">
        <f t="shared" si="249"/>
        <v>4.0</v>
      </c>
      <c r="CG45" t="str">
        <f>IF(CF43=2,"draw",IF(CF44=2,"away",IF(CF45=2,"draw 1-1",IF(CF46=2,"home",IF(CF47=2,"away 0-2",IF(CF48=2,"away 1-2",IF(CF49=2,"home 2-1","rountime")))))))</f>
        <v>away 1-2</v>
      </c>
      <c r="CH45">
        <f t="shared" si="278"/>
        <v>0.0</v>
      </c>
      <c r="CI45">
        <f t="shared" si="301" ref="CI45:CI49">CI44+1</f>
        <v>1.0</v>
      </c>
      <c r="CJ45">
        <f t="shared" si="279"/>
        <v>0.24136958021249308</v>
      </c>
      <c r="CK45">
        <f t="shared" si="280"/>
        <v>0.023909633975182046</v>
      </c>
      <c r="CL45">
        <f t="shared" si="281"/>
        <v>0.055280216960549876</v>
      </c>
      <c r="CM45">
        <f t="shared" si="282"/>
        <v>0.06390525238440414</v>
      </c>
      <c r="CN45">
        <f t="shared" si="283"/>
        <v>0.04925066635476256</v>
      </c>
      <c r="CO45">
        <f t="shared" si="284"/>
        <v>0.028467473868158608</v>
      </c>
      <c r="CP45">
        <f t="shared" si="285"/>
        <v>0.013163632144131226</v>
      </c>
      <c r="CS45">
        <f t="shared" si="302" ref="CS45:CS48">CS44+1</f>
        <v>1.5</v>
      </c>
      <c r="CT45">
        <f>SUM(CK44,CL44,CK45)</f>
        <v>0.059611968606991125</v>
      </c>
      <c r="CU45">
        <f>CV44-CT45</f>
        <v>0.8847704672424218</v>
      </c>
      <c r="CW45">
        <f t="shared" si="235"/>
        <v>4.0</v>
      </c>
      <c r="CX45">
        <f>SUM(CR40,CS40,CT40,CU40,CV40)</f>
        <v>92.02817368719259</v>
      </c>
      <c r="DA45" s="201">
        <v>1.0</v>
      </c>
      <c r="DB45" s="202" t="s">
        <v>81</v>
      </c>
      <c r="DC45" s="203">
        <v>1.0</v>
      </c>
      <c r="DD45" t="e">
        <f t="shared" si="251"/>
        <v>#N/A</v>
      </c>
      <c r="DE45" t="e">
        <f t="shared" si="252"/>
        <v>#N/A</v>
      </c>
      <c r="DF45" t="e">
        <f>IF(DE43=2,"draw",IF(DE44=2,"away",IF(DE45=2,"draw 1-1",IF(DE46=2,"home",IF(DE47=2,"away 0-2",IF(DE48=2,"away 1-2",IF(DE49=2,"home 2-1","rountime")))))))</f>
        <v>#N/A</v>
      </c>
      <c r="DG45" t="e">
        <f t="shared" si="286"/>
        <v>#N/A</v>
      </c>
      <c r="DH45">
        <f t="shared" si="303" ref="DH45:DH49">DH44+1</f>
        <v>1.0</v>
      </c>
      <c r="DI45" t="e">
        <f t="shared" si="287"/>
        <v>#N/A</v>
      </c>
      <c r="DJ45" t="e">
        <f t="shared" si="288"/>
        <v>#N/A</v>
      </c>
      <c r="DK45" t="e">
        <f t="shared" si="289"/>
        <v>#N/A</v>
      </c>
      <c r="DL45" t="e">
        <f t="shared" si="290"/>
        <v>#N/A</v>
      </c>
      <c r="DM45" t="e">
        <f t="shared" si="291"/>
        <v>#N/A</v>
      </c>
      <c r="DN45" t="e">
        <f t="shared" si="292"/>
        <v>#N/A</v>
      </c>
      <c r="DO45" t="e">
        <f t="shared" si="293"/>
        <v>#N/A</v>
      </c>
      <c r="DR45">
        <f t="shared" si="304" ref="DR45:DR48">DR44+1</f>
        <v>1.5</v>
      </c>
      <c r="DS45" t="e">
        <f>SUM(DJ44,DK44,DJ45)</f>
        <v>#N/A</v>
      </c>
      <c r="DT45" t="e">
        <f>DU44-DS45</f>
        <v>#N/A</v>
      </c>
      <c r="DV45">
        <f t="shared" si="238"/>
        <v>4.0</v>
      </c>
      <c r="DW45" t="e">
        <f>SUM(DQ40,DR40,DS40,DT40,DU40)</f>
        <v>#N/A</v>
      </c>
    </row>
    <row r="46" spans="8:8" ht="15.75" customHeight="1">
      <c r="E46" s="201">
        <v>1.0</v>
      </c>
      <c r="F46" s="202" t="s">
        <v>81</v>
      </c>
      <c r="G46" s="203">
        <v>0.0</v>
      </c>
      <c r="H46">
        <f t="shared" si="239"/>
        <v>0.023909633975182046</v>
      </c>
      <c r="I46">
        <f t="shared" si="240"/>
        <v>16.0</v>
      </c>
      <c r="J46" t="str">
        <f>IF(I43=3,"draw",IF(I44=3,"away",IF(I45=3,"draw 1-1",IF(I46=3,"home",IF(I47=3,"away 0-2",IF(I48=3,"away 1-2",IF(I49=3,"home 2-1","rountime")))))))</f>
        <v>home 2-1</v>
      </c>
      <c r="K46">
        <f t="shared" si="254"/>
        <v>0.0</v>
      </c>
      <c r="L46">
        <f t="shared" si="294"/>
        <v>2.0</v>
      </c>
      <c r="M46">
        <f t="shared" si="255"/>
        <v>0.2676858708900487</v>
      </c>
      <c r="N46">
        <f t="shared" si="256"/>
        <v>0.026516478123193216</v>
      </c>
      <c r="O46">
        <f t="shared" si="257"/>
        <v>0.06130736527381886</v>
      </c>
      <c r="P46">
        <f t="shared" si="258"/>
        <v>0.07087277992490855</v>
      </c>
      <c r="Q46">
        <f t="shared" si="259"/>
        <v>0.054620418627249444</v>
      </c>
      <c r="R46">
        <f t="shared" si="260"/>
        <v>0.03157125486869169</v>
      </c>
      <c r="S46">
        <f t="shared" si="261"/>
        <v>0.014598850159476814</v>
      </c>
      <c r="T46" s="234" t="str">
        <f>IF(T2&lt;0.6,"low",IF(T2&lt;1.38,"medium","high"))</f>
        <v>medium</v>
      </c>
      <c r="V46">
        <f t="shared" si="295"/>
        <v>2.5</v>
      </c>
      <c r="W46">
        <f>SUM(N44,O44,N45,N46,O45,P44)</f>
        <v>0.17022001613550472</v>
      </c>
      <c r="X46">
        <f t="shared" si="296"/>
        <v>0.774162419713908</v>
      </c>
      <c r="Z46" s="196" t="s">
        <v>85</v>
      </c>
      <c r="AA46" s="196">
        <f>Z40-AA45</f>
        <v>0.3283976041162049</v>
      </c>
      <c r="AD46" s="201">
        <v>1.0</v>
      </c>
      <c r="AE46" s="202" t="s">
        <v>81</v>
      </c>
      <c r="AF46" s="203">
        <v>0.0</v>
      </c>
      <c r="AG46">
        <f t="shared" si="242"/>
        <v>0.15762848272004434</v>
      </c>
      <c r="AH46">
        <f t="shared" si="243"/>
        <v>1.0</v>
      </c>
      <c r="AI46" t="str">
        <f>IF(AH43=3,"draw",IF(AH44=3,"away",IF(AH45=3,"draw 1-1",IF(AH46=3,"home",IF(AH47=3,"away 0-2",IF(AH48=3,"away 1-2",IF(AH49=3,"home 2-1","rountime")))))))</f>
        <v>draw</v>
      </c>
      <c r="AJ46" t="str">
        <f t="shared" si="262"/>
        <v>small</v>
      </c>
      <c r="AK46">
        <f t="shared" si="297"/>
        <v>2.0</v>
      </c>
      <c r="AL46">
        <f t="shared" si="263"/>
        <v>0.23069765328734132</v>
      </c>
      <c r="AM46">
        <f t="shared" si="264"/>
        <v>0.10271872983853374</v>
      </c>
      <c r="AN46">
        <f t="shared" si="265"/>
        <v>0.08311111290544192</v>
      </c>
      <c r="AO46">
        <f t="shared" si="266"/>
        <v>0.03362316249061453</v>
      </c>
      <c r="AP46">
        <f t="shared" si="267"/>
        <v>0.009068318434194578</v>
      </c>
      <c r="AQ46">
        <f t="shared" si="268"/>
        <v>0.0018343247585702544</v>
      </c>
      <c r="AR46">
        <f t="shared" si="269"/>
        <v>2.968353918597404E-4</v>
      </c>
      <c r="AS46" s="234" t="str">
        <f>IF(AS2&lt;0.6,"low",IF(AS2&lt;1.38,"medium","high"))</f>
        <v>high</v>
      </c>
      <c r="AU46">
        <f t="shared" si="298"/>
        <v>2.5</v>
      </c>
      <c r="AV46">
        <f>SUM(AM44,AN44,AM45,AM46,AN45,AO44)</f>
        <v>0.6462800854877061</v>
      </c>
      <c r="AW46">
        <f>AX44-AV46</f>
        <v>0.351265984891339</v>
      </c>
      <c r="AY46" t="s">
        <v>85</v>
      </c>
      <c r="AZ46">
        <f>AY40-AZ45</f>
        <v>0.4596131758122084</v>
      </c>
      <c r="BC46" s="201">
        <v>1.0</v>
      </c>
      <c r="BD46" s="202" t="s">
        <v>81</v>
      </c>
      <c r="BE46" s="203">
        <v>0.0</v>
      </c>
      <c r="BF46">
        <f t="shared" si="245"/>
        <v>0.15762848272004434</v>
      </c>
      <c r="BG46">
        <f t="shared" si="246"/>
        <v>1.0</v>
      </c>
      <c r="BH46" t="str">
        <f>IF(BG43=3,"draw",IF(BG44=3,"away",IF(BG45=3,"draw 1-1",IF(BG46=3,"home",IF(BG47=3,"away 0-2",IF(BG48=3,"away 1-2",IF(BG49=3,"home 2-1","rountime")))))))</f>
        <v>draw</v>
      </c>
      <c r="BI46" t="str">
        <f t="shared" si="270"/>
        <v>small</v>
      </c>
      <c r="BJ46">
        <f t="shared" si="299"/>
        <v>2.0</v>
      </c>
      <c r="BK46">
        <f t="shared" si="271"/>
        <v>0.23069765328734132</v>
      </c>
      <c r="BL46">
        <f t="shared" si="272"/>
        <v>0.10271872983853374</v>
      </c>
      <c r="BM46">
        <f t="shared" si="273"/>
        <v>0.08311111290544192</v>
      </c>
      <c r="BN46">
        <f t="shared" si="274"/>
        <v>0.03362316249061453</v>
      </c>
      <c r="BO46">
        <f t="shared" si="275"/>
        <v>0.009068318434194578</v>
      </c>
      <c r="BP46">
        <f t="shared" si="276"/>
        <v>0.0018343247585702544</v>
      </c>
      <c r="BQ46">
        <f t="shared" si="277"/>
        <v>2.968353918597404E-4</v>
      </c>
      <c r="BR46" s="234" t="str">
        <f>IF(BR2&lt;0.6,"low",IF(BR2&lt;1.38,"medium","high"))</f>
        <v>high</v>
      </c>
      <c r="BT46">
        <f t="shared" si="300"/>
        <v>2.5</v>
      </c>
      <c r="BU46">
        <f>SUM(BL44,BM44,BL45,BL46,BM45,BN44)</f>
        <v>0.6462800854877061</v>
      </c>
      <c r="BV46">
        <f>BW44-BU46</f>
        <v>0.351265984891339</v>
      </c>
      <c r="BX46" t="s">
        <v>85</v>
      </c>
      <c r="BY46">
        <f>BX40-BY45</f>
        <v>0.4596131758122084</v>
      </c>
      <c r="CB46" s="201">
        <v>1.0</v>
      </c>
      <c r="CC46" s="202" t="s">
        <v>81</v>
      </c>
      <c r="CD46" s="203">
        <v>0.0</v>
      </c>
      <c r="CE46">
        <f t="shared" si="248"/>
        <v>0.023909633975182046</v>
      </c>
      <c r="CF46">
        <f t="shared" si="249"/>
        <v>16.0</v>
      </c>
      <c r="CG46" t="str">
        <f>IF(CF43=3,"draw",IF(CF44=3,"away",IF(CF45=3,"draw 1-1",IF(CF46=3,"home",IF(CF47=3,"away 0-2",IF(CF48=3,"away 1-2",IF(CF49=3,"home 2-1","rountime")))))))</f>
        <v>home 2-1</v>
      </c>
      <c r="CH46">
        <f t="shared" si="278"/>
        <v>0.0</v>
      </c>
      <c r="CI46">
        <f t="shared" si="301"/>
        <v>2.0</v>
      </c>
      <c r="CJ46">
        <f t="shared" si="279"/>
        <v>0.2676858708900487</v>
      </c>
      <c r="CK46">
        <f t="shared" si="280"/>
        <v>0.026516478123193216</v>
      </c>
      <c r="CL46">
        <f t="shared" si="281"/>
        <v>0.06130736527381886</v>
      </c>
      <c r="CM46">
        <f t="shared" si="282"/>
        <v>0.07087277992490855</v>
      </c>
      <c r="CN46">
        <f t="shared" si="283"/>
        <v>0.054620418627249444</v>
      </c>
      <c r="CO46">
        <f t="shared" si="284"/>
        <v>0.03157125486869169</v>
      </c>
      <c r="CP46">
        <f t="shared" si="285"/>
        <v>0.014598850159476814</v>
      </c>
      <c r="CQ46" s="234" t="str">
        <f>IF(CQ2&lt;0.6,"low",IF(CQ2&lt;1.38,"medium","high"))</f>
        <v>medium</v>
      </c>
      <c r="CS46">
        <f t="shared" si="302"/>
        <v>2.5</v>
      </c>
      <c r="CT46">
        <f>SUM(CK44,CL44,CK45,CK46,CL45,CM44)</f>
        <v>0.17022001613550472</v>
      </c>
      <c r="CU46">
        <f>CV44-CT46</f>
        <v>0.774162419713908</v>
      </c>
      <c r="CW46" t="s">
        <v>85</v>
      </c>
      <c r="CX46">
        <f>CW40-CX45</f>
        <v>7.959084930556088</v>
      </c>
      <c r="DA46" s="201">
        <v>1.0</v>
      </c>
      <c r="DB46" s="202" t="s">
        <v>81</v>
      </c>
      <c r="DC46" s="203">
        <v>0.0</v>
      </c>
      <c r="DD46" t="e">
        <f t="shared" si="251"/>
        <v>#N/A</v>
      </c>
      <c r="DE46" t="e">
        <f t="shared" si="252"/>
        <v>#N/A</v>
      </c>
      <c r="DF46" t="e">
        <f>IF(DE43=3,"draw",IF(DE44=3,"away",IF(DE45=3,"draw 1-1",IF(DE46=3,"home",IF(DE47=3,"away 0-2",IF(DE48=3,"away 1-2",IF(DE49=3,"home 2-1","rountime")))))))</f>
        <v>#N/A</v>
      </c>
      <c r="DG46" t="e">
        <f t="shared" si="286"/>
        <v>#N/A</v>
      </c>
      <c r="DH46">
        <f t="shared" si="303"/>
        <v>2.0</v>
      </c>
      <c r="DI46" t="e">
        <f t="shared" si="287"/>
        <v>#N/A</v>
      </c>
      <c r="DJ46" t="e">
        <f t="shared" si="288"/>
        <v>#N/A</v>
      </c>
      <c r="DK46" t="e">
        <f t="shared" si="289"/>
        <v>#N/A</v>
      </c>
      <c r="DL46" t="e">
        <f t="shared" si="290"/>
        <v>#N/A</v>
      </c>
      <c r="DM46" t="e">
        <f t="shared" si="291"/>
        <v>#N/A</v>
      </c>
      <c r="DN46" t="e">
        <f t="shared" si="292"/>
        <v>#N/A</v>
      </c>
      <c r="DO46" t="e">
        <f t="shared" si="293"/>
        <v>#N/A</v>
      </c>
      <c r="DP46" s="234" t="e">
        <f>IF(DP2&lt;0.6,"low",IF(DP2&lt;1.38,"medium","high"))</f>
        <v>#N/A</v>
      </c>
      <c r="DR46">
        <f t="shared" si="304"/>
        <v>2.5</v>
      </c>
      <c r="DS46" t="e">
        <f>SUM(DJ44,DK44,DJ45,DJ46,DK45,DL44)</f>
        <v>#N/A</v>
      </c>
      <c r="DT46" t="e">
        <f>DU44-DS46</f>
        <v>#N/A</v>
      </c>
      <c r="DV46" t="s">
        <v>85</v>
      </c>
      <c r="DW46" t="e">
        <f>DV40-DW45</f>
        <v>#N/A</v>
      </c>
    </row>
    <row r="47" spans="8:8" ht="15.75" customHeight="1">
      <c r="E47" s="201">
        <v>0.0</v>
      </c>
      <c r="F47" s="202" t="s">
        <v>81</v>
      </c>
      <c r="G47" s="203">
        <v>2.0</v>
      </c>
      <c r="H47">
        <f t="shared" si="239"/>
        <v>0.028811352444770504</v>
      </c>
      <c r="I47">
        <f t="shared" si="240"/>
        <v>12.0</v>
      </c>
      <c r="J47" t="str">
        <f>IF(I43=4,"draw",IF(I44=4,"away",IF(I45=4,"draw 1-1",IF(I46=4,"home",IF(I47=4,"away 0-2",IF(I48=4,"away 1-2",IF(I49=4,"home 2-1","rountime")))))))</f>
        <v>draw 1-1</v>
      </c>
      <c r="K47" t="str">
        <f t="shared" si="254"/>
        <v>under</v>
      </c>
      <c r="L47">
        <f t="shared" si="294"/>
        <v>3.0</v>
      </c>
      <c r="M47">
        <f t="shared" si="255"/>
        <v>0.1979142674374589</v>
      </c>
      <c r="N47">
        <f t="shared" si="256"/>
        <v>0.019605029302905527</v>
      </c>
      <c r="O47">
        <f t="shared" si="257"/>
        <v>0.04532776513883474</v>
      </c>
      <c r="P47">
        <f t="shared" si="258"/>
        <v>0.05239998014634088</v>
      </c>
      <c r="Q47">
        <f t="shared" si="259"/>
        <v>0.040383753179784584</v>
      </c>
      <c r="R47">
        <f t="shared" si="260"/>
        <v>0.023342292062866993</v>
      </c>
      <c r="S47">
        <f t="shared" si="261"/>
        <v>0.010793699066503458</v>
      </c>
      <c r="T47" s="210" t="str">
        <f>IF(W44&gt;0.38,"u0.5",IF(W45&gt;0.352,"U1.5",IF(W46&gt;0.5885,"u2.5",IF(W47&gt;0.6871,"U3.5",IF(W48&gt;0.6993,"u4.5","Run")))))</f>
        <v>Run</v>
      </c>
      <c r="U47" s="210" t="str">
        <f>IF(X48&gt;0.34,"O4.5",IF(X47&gt;0.6155,"O3.5",IF(X46&gt;0.5063,"O2.5",IF(X45&gt;0.74,"O1.5",IF(X44&gt;0.95,"O0.5","Run")))))</f>
        <v>O4.5</v>
      </c>
      <c r="V47">
        <f t="shared" si="295"/>
        <v>3.5</v>
      </c>
      <c r="W47">
        <f>W46+SUM(Q44,P45,O46,N47)</f>
        <v>0.337242071240606</v>
      </c>
      <c r="X47">
        <f t="shared" si="296"/>
        <v>0.6071403646088069</v>
      </c>
      <c r="AA47">
        <f>AVERAGE(AA46,AA8)</f>
        <v>0.3994618206992513</v>
      </c>
      <c r="AD47" s="201">
        <v>0.0</v>
      </c>
      <c r="AE47" s="202" t="s">
        <v>81</v>
      </c>
      <c r="AF47" s="203">
        <v>2.0</v>
      </c>
      <c r="AG47">
        <f t="shared" si="242"/>
        <v>0.03958937751098731</v>
      </c>
      <c r="AH47">
        <f t="shared" si="243"/>
        <v>8.0</v>
      </c>
      <c r="AI47" t="str">
        <f>IF(AH43=4,"draw",IF(AH44=4,"away",IF(AH45=4,"draw 1-1",IF(AH46=4,"home",IF(AH47=4,"away 0-2",IF(AH48=4,"away 1-2",IF(AH49=4,"home 2-1","rountime")))))))</f>
        <v>away</v>
      </c>
      <c r="AJ47" t="str">
        <f t="shared" si="262"/>
        <v>small</v>
      </c>
      <c r="AK47">
        <f t="shared" si="297"/>
        <v>3.0</v>
      </c>
      <c r="AL47">
        <f t="shared" si="263"/>
        <v>0.10022287644758164</v>
      </c>
      <c r="AM47">
        <f t="shared" si="264"/>
        <v>0.044624496273646196</v>
      </c>
      <c r="AN47">
        <f t="shared" si="265"/>
        <v>0.03610628318688741</v>
      </c>
      <c r="AO47">
        <f t="shared" si="266"/>
        <v>0.014607040912880963</v>
      </c>
      <c r="AP47">
        <f t="shared" si="267"/>
        <v>0.003939584755487759</v>
      </c>
      <c r="AQ47">
        <f t="shared" si="268"/>
        <v>7.968928206389096E-4</v>
      </c>
      <c r="AR47">
        <f t="shared" si="269"/>
        <v>1.289553507792905E-4</v>
      </c>
      <c r="AS47" s="210" t="str">
        <f>IF(AV44&gt;0.38,"u0.5",IF(AV45&gt;0.352,"U1.5",IF(AV46&gt;0.5885,"u2.5",IF(AV47&gt;0.6871,"U3.5",IF(AV48&gt;0.6993,"u4.5","Run")))))</f>
        <v>U1.5</v>
      </c>
      <c r="AT47" s="210" t="str">
        <f>IF(AW48&gt;0.34,"O4.5",IF(AW47&gt;0.6155,"O3.5",IF(AW46&gt;0.5063,"O2.5",IF(AW45&gt;0.74,"O1.5",IF(AW44&gt;0.95,"O0.5","Run")))))</f>
        <v>Run</v>
      </c>
      <c r="AU47">
        <f t="shared" si="298"/>
        <v>3.5</v>
      </c>
      <c r="AV47">
        <f>AV46+SUM(AP44,AO45,AN46,AM47)</f>
        <v>0.836290028722108</v>
      </c>
      <c r="AW47">
        <f>AX44-AV47</f>
        <v>0.16125604165693697</v>
      </c>
      <c r="AZ47">
        <f>AVERAGE(AZ46,AZ8)</f>
        <v>4.246705597256252</v>
      </c>
      <c r="BC47" s="201">
        <v>0.0</v>
      </c>
      <c r="BD47" s="202" t="s">
        <v>81</v>
      </c>
      <c r="BE47" s="203">
        <v>2.0</v>
      </c>
      <c r="BF47">
        <f t="shared" si="245"/>
        <v>0.03958937751098731</v>
      </c>
      <c r="BG47">
        <f t="shared" si="246"/>
        <v>8.0</v>
      </c>
      <c r="BH47" t="str">
        <f>IF(BG43=4,"draw",IF(BG44=4,"away",IF(BG45=4,"draw 1-1",IF(BG46=4,"home",IF(BG47=4,"away 0-2",IF(BG48=4,"away 1-2",IF(BG49=4,"home 2-1","rountime")))))))</f>
        <v>away</v>
      </c>
      <c r="BI47" t="str">
        <f t="shared" si="270"/>
        <v>small</v>
      </c>
      <c r="BJ47">
        <f t="shared" si="299"/>
        <v>3.0</v>
      </c>
      <c r="BK47">
        <f t="shared" si="271"/>
        <v>0.10022287644758164</v>
      </c>
      <c r="BL47">
        <f t="shared" si="272"/>
        <v>0.044624496273646196</v>
      </c>
      <c r="BM47">
        <f t="shared" si="273"/>
        <v>0.03610628318688741</v>
      </c>
      <c r="BN47">
        <f t="shared" si="274"/>
        <v>0.014607040912880963</v>
      </c>
      <c r="BO47">
        <f t="shared" si="275"/>
        <v>0.003939584755487759</v>
      </c>
      <c r="BP47">
        <f t="shared" si="276"/>
        <v>7.968928206389096E-4</v>
      </c>
      <c r="BQ47">
        <f t="shared" si="277"/>
        <v>1.289553507792905E-4</v>
      </c>
      <c r="BR47" s="210" t="str">
        <f>IF(BU44&gt;0.38,"u0.5",IF(BU45&gt;0.352,"U1.5",IF(BU46&gt;0.5885,"u2.5",IF(BU47&gt;0.6871,"U3.5",IF(BU48&gt;0.6993,"u4.5","Run")))))</f>
        <v>U1.5</v>
      </c>
      <c r="BS47" s="210" t="str">
        <f>IF(BV48&gt;0.34,"O4.5",IF(BV47&gt;0.6155,"O3.5",IF(BV46&gt;0.5063,"O2.5",IF(BV45&gt;0.74,"O1.5",IF(BV44&gt;0.95,"O0.5","Run")))))</f>
        <v>Run</v>
      </c>
      <c r="BT47">
        <f t="shared" si="300"/>
        <v>3.5</v>
      </c>
      <c r="BU47">
        <f>BU46+SUM(BO44,BN45,BM46,BL47)</f>
        <v>0.836290028722108</v>
      </c>
      <c r="BV47">
        <f>BW44-BU47</f>
        <v>0.16125604165693697</v>
      </c>
      <c r="BY47">
        <f>AVERAGE(BY46,BY8)</f>
        <v>4.246705597256252</v>
      </c>
      <c r="CB47" s="201">
        <v>0.0</v>
      </c>
      <c r="CC47" s="202" t="s">
        <v>81</v>
      </c>
      <c r="CD47" s="203">
        <v>2.0</v>
      </c>
      <c r="CE47">
        <f t="shared" si="248"/>
        <v>0.028811352444770504</v>
      </c>
      <c r="CF47">
        <f t="shared" si="249"/>
        <v>12.0</v>
      </c>
      <c r="CG47" t="str">
        <f>IF(CF43=4,"draw",IF(CF44=4,"away",IF(CF45=4,"draw 1-1",IF(CF46=4,"home",IF(CF47=4,"away 0-2",IF(CF48=4,"away 1-2",IF(CF49=4,"home 2-1","rountime")))))))</f>
        <v>draw 1-1</v>
      </c>
      <c r="CH47" t="str">
        <f t="shared" si="278"/>
        <v>under</v>
      </c>
      <c r="CI47">
        <f t="shared" si="301"/>
        <v>3.0</v>
      </c>
      <c r="CJ47">
        <f t="shared" si="279"/>
        <v>0.1979142674374589</v>
      </c>
      <c r="CK47">
        <f t="shared" si="280"/>
        <v>0.019605029302905527</v>
      </c>
      <c r="CL47">
        <f t="shared" si="281"/>
        <v>0.04532776513883474</v>
      </c>
      <c r="CM47">
        <f t="shared" si="282"/>
        <v>0.05239998014634088</v>
      </c>
      <c r="CN47">
        <f t="shared" si="283"/>
        <v>0.040383753179784584</v>
      </c>
      <c r="CO47">
        <f t="shared" si="284"/>
        <v>0.023342292062866993</v>
      </c>
      <c r="CP47">
        <f t="shared" si="285"/>
        <v>0.010793699066503458</v>
      </c>
      <c r="CQ47" s="210" t="str">
        <f>IF(CT44&gt;0.38,"u0.5",IF(CT45&gt;0.352,"U1.5",IF(CT46&gt;0.5885,"u2.5",IF(CT47&gt;0.6871,"U3.5",IF(CT48&gt;0.6993,"u4.5","Run")))))</f>
        <v>Run</v>
      </c>
      <c r="CR47" s="210" t="str">
        <f>IF(CU48&gt;0.34,"O4.5",IF(CU47&gt;0.6155,"O3.5",IF(CU46&gt;0.5063,"O2.5",IF(CU45&gt;0.74,"O1.5",IF(CU44&gt;0.95,"O0.5","Run")))))</f>
        <v>O4.5</v>
      </c>
      <c r="CS47">
        <f t="shared" si="302"/>
        <v>3.5</v>
      </c>
      <c r="CT47">
        <f>CT46+SUM(CN44,CM45,CL46,CK47)</f>
        <v>0.337242071240606</v>
      </c>
      <c r="CU47">
        <f>CV44-CT47</f>
        <v>0.6071403646088069</v>
      </c>
      <c r="CX47">
        <f>AVERAGE(CX46,CX8)</f>
        <v>4.214805483919193</v>
      </c>
      <c r="DA47" s="201">
        <v>0.0</v>
      </c>
      <c r="DB47" s="202" t="s">
        <v>81</v>
      </c>
      <c r="DC47" s="203">
        <v>2.0</v>
      </c>
      <c r="DD47" t="e">
        <f t="shared" si="251"/>
        <v>#N/A</v>
      </c>
      <c r="DE47" t="e">
        <f t="shared" si="252"/>
        <v>#N/A</v>
      </c>
      <c r="DF47" t="e">
        <f>IF(DE43=4,"draw",IF(DE44=4,"away",IF(DE45=4,"draw 1-1",IF(DE46=4,"home",IF(DE47=4,"away 0-2",IF(DE48=4,"away 1-2",IF(DE49=4,"home 2-1","rountime")))))))</f>
        <v>#N/A</v>
      </c>
      <c r="DG47" t="e">
        <f t="shared" si="286"/>
        <v>#N/A</v>
      </c>
      <c r="DH47">
        <f t="shared" si="303"/>
        <v>3.0</v>
      </c>
      <c r="DI47" t="e">
        <f t="shared" si="287"/>
        <v>#N/A</v>
      </c>
      <c r="DJ47" t="e">
        <f t="shared" si="288"/>
        <v>#N/A</v>
      </c>
      <c r="DK47" t="e">
        <f t="shared" si="289"/>
        <v>#N/A</v>
      </c>
      <c r="DL47" t="e">
        <f t="shared" si="290"/>
        <v>#N/A</v>
      </c>
      <c r="DM47" t="e">
        <f t="shared" si="291"/>
        <v>#N/A</v>
      </c>
      <c r="DN47" t="e">
        <f t="shared" si="292"/>
        <v>#N/A</v>
      </c>
      <c r="DO47" t="e">
        <f t="shared" si="293"/>
        <v>#N/A</v>
      </c>
      <c r="DP47" s="210" t="e">
        <f>IF(DS44&gt;0.38,"u0.5",IF(DS45&gt;0.352,"U1.5",IF(DS46&gt;0.5885,"u2.5",IF(DS47&gt;0.6871,"U3.5",IF(DS48&gt;0.6993,"u4.5","Run")))))</f>
        <v>#N/A</v>
      </c>
      <c r="DQ47" s="210" t="e">
        <f>IF(DT48&gt;0.34,"O4.5",IF(DT47&gt;0.6155,"O3.5",IF(DT46&gt;0.5063,"O2.5",IF(DT45&gt;0.74,"O1.5",IF(DT44&gt;0.95,"O0.5","Run")))))</f>
        <v>#N/A</v>
      </c>
      <c r="DR47">
        <f t="shared" si="304"/>
        <v>3.5</v>
      </c>
      <c r="DS47" t="e">
        <f>DS46+SUM(DM44,DL45,DK46,DJ47)</f>
        <v>#N/A</v>
      </c>
      <c r="DT47" t="e">
        <f>DU44-DS47</f>
        <v>#N/A</v>
      </c>
      <c r="DW47" t="e">
        <f>AVERAGE(DW46,DW8)</f>
        <v>#N/A</v>
      </c>
    </row>
    <row r="48" spans="8:8" ht="15.75" customHeight="1">
      <c r="E48" s="201">
        <v>1.0</v>
      </c>
      <c r="F48" s="202" t="s">
        <v>81</v>
      </c>
      <c r="G48" s="203">
        <v>2.0</v>
      </c>
      <c r="H48">
        <f t="shared" si="239"/>
        <v>0.06390525238440414</v>
      </c>
      <c r="I48">
        <f t="shared" si="240"/>
        <v>2.0</v>
      </c>
      <c r="J48">
        <f t="shared" si="305" ref="J48:J51">IF(J44="draw",1,IF(J44="draw 1-1",1,IF(J44="home",2,IF(J44="home 2-1",2,IF(J44="away",3,IF(J44="away 1-2",3,IF(J44="away 0-2",3,0)))))))</f>
        <v>0.0</v>
      </c>
      <c r="K48">
        <f>COUNTIF(K44:K47,"small")</f>
        <v>0.0</v>
      </c>
      <c r="L48">
        <f t="shared" si="294"/>
        <v>4.0</v>
      </c>
      <c r="M48">
        <f t="shared" si="255"/>
        <v>0.10974633380461929</v>
      </c>
      <c r="N48">
        <f t="shared" si="256"/>
        <v>0.010871273294159623</v>
      </c>
      <c r="O48">
        <f t="shared" si="257"/>
        <v>0.025134903652744022</v>
      </c>
      <c r="P48">
        <f t="shared" si="258"/>
        <v>0.029056549519922703</v>
      </c>
      <c r="Q48">
        <f t="shared" si="259"/>
        <v>0.022393377264489034</v>
      </c>
      <c r="R48">
        <f t="shared" si="260"/>
        <v>0.0129436397368665</v>
      </c>
      <c r="S48">
        <f t="shared" si="261"/>
        <v>0.005985262791190236</v>
      </c>
      <c r="T48" s="210" t="str">
        <f>IF(W44&gt;0.4,"u0.5",IF(W45&gt;0.52,"U1.5",IF(W46&gt;0.721,"u2.5",IF(W47&gt;0.79775,"U3.5",IF(W48&gt;0.8165,"u4.5","Run")))))</f>
        <v>Run</v>
      </c>
      <c r="U48" s="210" t="str">
        <f>IF(X48&gt;0.55,"O4.5",IF(X47&gt;0.69775,"O3.5",IF(X46&gt;0.7,"O2.5",IF(X45&gt;0.79,"O1.5",IF(X44&gt;0.92,"O0.5","Run")))))</f>
        <v>O2.5</v>
      </c>
      <c r="V48">
        <f t="shared" si="295"/>
        <v>4.5</v>
      </c>
      <c r="W48">
        <f>W47+SUM(R44,Q45,P46,O47,N48)</f>
        <v>0.526398969279647</v>
      </c>
      <c r="X48">
        <f t="shared" si="296"/>
        <v>0.4179834665697659</v>
      </c>
      <c r="AD48" s="201">
        <v>1.0</v>
      </c>
      <c r="AE48" s="202" t="s">
        <v>81</v>
      </c>
      <c r="AF48" s="203">
        <v>2.0</v>
      </c>
      <c r="AG48">
        <f t="shared" si="242"/>
        <v>0.05159690054556004</v>
      </c>
      <c r="AH48">
        <f t="shared" si="243"/>
        <v>6.0</v>
      </c>
      <c r="AI48">
        <f t="shared" si="306" ref="AI48:AI51">IF(AI44="draw",1,IF(AI44="draw 1-1",1,IF(AI44="home",2,IF(AI44="home 2-1",2,IF(AI44="away",3,IF(AI44="away 1-2",3,IF(AI44="away 0-2",3,0)))))))</f>
        <v>2.0</v>
      </c>
      <c r="AJ48">
        <f>COUNTIF(AJ44:AJ47,"small")</f>
        <v>3.0</v>
      </c>
      <c r="AK48">
        <f t="shared" si="297"/>
        <v>4.0</v>
      </c>
      <c r="AL48">
        <f t="shared" si="263"/>
        <v>0.03265515975226342</v>
      </c>
      <c r="AM48">
        <f t="shared" si="264"/>
        <v>0.014539794768735783</v>
      </c>
      <c r="AN48">
        <f t="shared" si="265"/>
        <v>0.011764344502174997</v>
      </c>
      <c r="AO48">
        <f t="shared" si="266"/>
        <v>0.004759345085924097</v>
      </c>
      <c r="AP48">
        <f t="shared" si="267"/>
        <v>0.00128361681592046</v>
      </c>
      <c r="AQ48">
        <f t="shared" si="268"/>
        <v>2.596479295523484E-4</v>
      </c>
      <c r="AR48">
        <f t="shared" si="269"/>
        <v>4.201692996517973E-5</v>
      </c>
      <c r="AS48" s="210" t="str">
        <f>IF(AV44&gt;0.4,"u0.5",IF(AV45&gt;0.52,"U1.5",IF(AV46&gt;0.721,"u2.5",IF(AV47&gt;0.79775,"U3.5",IF(AV48&gt;0.8165,"u4.5","Run")))))</f>
        <v>U3.5</v>
      </c>
      <c r="AT48" s="210" t="str">
        <f>IF(AW48&gt;0.55,"O4.5",IF(AW47&gt;0.69775,"O3.5",IF(AW46&gt;0.7,"O2.5",IF(AW45&gt;0.79,"O1.5",IF(AW44&gt;0.92,"O0.5","Run")))))</f>
        <v>Run</v>
      </c>
      <c r="AU48">
        <f t="shared" si="298"/>
        <v>4.5</v>
      </c>
      <c r="AV48">
        <f>AV47+SUM(AQ44,AP45,AO46,AN47,AM48)</f>
        <v>0.936634999696676</v>
      </c>
      <c r="AW48">
        <f>AX44-AV48</f>
        <v>0.060911070682369006</v>
      </c>
      <c r="BC48" s="201">
        <v>1.0</v>
      </c>
      <c r="BD48" s="202" t="s">
        <v>81</v>
      </c>
      <c r="BE48" s="203">
        <v>2.0</v>
      </c>
      <c r="BF48">
        <f t="shared" si="245"/>
        <v>0.05159690054556004</v>
      </c>
      <c r="BG48">
        <f t="shared" si="246"/>
        <v>6.0</v>
      </c>
      <c r="BH48">
        <f t="shared" si="307" ref="BH48:BH51">IF(BH44="draw",1,IF(BH44="draw 1-1",1,IF(BH44="home",2,IF(BH44="home 2-1",2,IF(BH44="away",3,IF(BH44="away 1-2",3,IF(BH44="away 0-2",3,0)))))))</f>
        <v>2.0</v>
      </c>
      <c r="BI48">
        <f>COUNTIF(BI44:BI47,"small")</f>
        <v>3.0</v>
      </c>
      <c r="BJ48">
        <f t="shared" si="299"/>
        <v>4.0</v>
      </c>
      <c r="BK48">
        <f t="shared" si="271"/>
        <v>0.03265515975226342</v>
      </c>
      <c r="BL48">
        <f t="shared" si="272"/>
        <v>0.014539794768735783</v>
      </c>
      <c r="BM48">
        <f t="shared" si="273"/>
        <v>0.011764344502174997</v>
      </c>
      <c r="BN48">
        <f t="shared" si="274"/>
        <v>0.004759345085924097</v>
      </c>
      <c r="BO48">
        <f t="shared" si="275"/>
        <v>0.00128361681592046</v>
      </c>
      <c r="BP48">
        <f t="shared" si="276"/>
        <v>2.596479295523484E-4</v>
      </c>
      <c r="BQ48">
        <f t="shared" si="277"/>
        <v>4.201692996517973E-5</v>
      </c>
      <c r="BR48" s="210" t="str">
        <f>IF(BU44&gt;0.4,"u0.5",IF(BU45&gt;0.52,"U1.5",IF(BU46&gt;0.721,"u2.5",IF(BU47&gt;0.79775,"U3.5",IF(BU48&gt;0.8165,"u4.5","Run")))))</f>
        <v>U3.5</v>
      </c>
      <c r="BS48" s="210" t="str">
        <f>IF(BV48&gt;0.55,"O4.5",IF(BV47&gt;0.69775,"O3.5",IF(BV46&gt;0.7,"O2.5",IF(BV45&gt;0.79,"O1.5",IF(BV44&gt;0.92,"O0.5","Run")))))</f>
        <v>Run</v>
      </c>
      <c r="BT48">
        <f t="shared" si="300"/>
        <v>4.5</v>
      </c>
      <c r="BU48">
        <f>BU47+SUM(BP44,BO45,BN46,BM47,BL48)</f>
        <v>0.936634999696676</v>
      </c>
      <c r="BV48">
        <f>BW44-BU48</f>
        <v>0.060911070682369006</v>
      </c>
      <c r="CB48" s="201">
        <v>1.0</v>
      </c>
      <c r="CC48" s="202" t="s">
        <v>81</v>
      </c>
      <c r="CD48" s="203">
        <v>2.0</v>
      </c>
      <c r="CE48">
        <f t="shared" si="248"/>
        <v>0.06390525238440414</v>
      </c>
      <c r="CF48">
        <f t="shared" si="249"/>
        <v>2.0</v>
      </c>
      <c r="CG48">
        <f t="shared" si="308" ref="CG48:CG51">IF(CG44="draw",1,IF(CG44="draw 1-1",1,IF(CG44="home",2,IF(CG44="home 2-1",2,IF(CG44="away",3,IF(CG44="away 1-2",3,IF(CG44="away 0-2",3,0)))))))</f>
        <v>0.0</v>
      </c>
      <c r="CH48">
        <f>COUNTIF(CH44:CH47,"small")</f>
        <v>0.0</v>
      </c>
      <c r="CI48">
        <f t="shared" si="301"/>
        <v>4.0</v>
      </c>
      <c r="CJ48">
        <f t="shared" si="279"/>
        <v>0.10974633380461929</v>
      </c>
      <c r="CK48">
        <f t="shared" si="280"/>
        <v>0.010871273294159623</v>
      </c>
      <c r="CL48">
        <f t="shared" si="281"/>
        <v>0.025134903652744022</v>
      </c>
      <c r="CM48">
        <f t="shared" si="282"/>
        <v>0.029056549519922703</v>
      </c>
      <c r="CN48">
        <f t="shared" si="283"/>
        <v>0.022393377264489034</v>
      </c>
      <c r="CO48">
        <f t="shared" si="284"/>
        <v>0.0129436397368665</v>
      </c>
      <c r="CP48">
        <f t="shared" si="285"/>
        <v>0.005985262791190236</v>
      </c>
      <c r="CQ48" s="210" t="str">
        <f>IF(CT44&gt;0.4,"u0.5",IF(CT45&gt;0.52,"U1.5",IF(CT46&gt;0.721,"u2.5",IF(CT47&gt;0.79775,"U3.5",IF(CT48&gt;0.8165,"u4.5","Run")))))</f>
        <v>Run</v>
      </c>
      <c r="CR48" s="210" t="str">
        <f>IF(CU48&gt;0.55,"O4.5",IF(CU47&gt;0.69775,"O3.5",IF(CU46&gt;0.7,"O2.5",IF(CU45&gt;0.79,"O1.5",IF(CU44&gt;0.92,"O0.5","Run")))))</f>
        <v>O2.5</v>
      </c>
      <c r="CS48">
        <f t="shared" si="302"/>
        <v>4.5</v>
      </c>
      <c r="CT48">
        <f>CT47+SUM(CO44,CN45,CM46,CL47,CK48)</f>
        <v>0.526398969279647</v>
      </c>
      <c r="CU48">
        <f>CV44-CT48</f>
        <v>0.4179834665697659</v>
      </c>
      <c r="DA48" s="201">
        <v>1.0</v>
      </c>
      <c r="DB48" s="202" t="s">
        <v>81</v>
      </c>
      <c r="DC48" s="203">
        <v>2.0</v>
      </c>
      <c r="DD48" t="e">
        <f t="shared" si="251"/>
        <v>#N/A</v>
      </c>
      <c r="DE48" t="e">
        <f t="shared" si="252"/>
        <v>#N/A</v>
      </c>
      <c r="DF48" t="e">
        <f t="shared" si="309" ref="DF48:DF51">IF(DF44="draw",1,IF(DF44="draw 1-1",1,IF(DF44="home",2,IF(DF44="home 2-1",2,IF(DF44="away",3,IF(DF44="away 1-2",3,IF(DF44="away 0-2",3,0)))))))</f>
        <v>#N/A</v>
      </c>
      <c r="DG48">
        <f>COUNTIF(DG44:DG47,"small")</f>
        <v>0.0</v>
      </c>
      <c r="DH48">
        <f t="shared" si="303"/>
        <v>4.0</v>
      </c>
      <c r="DI48" t="e">
        <f t="shared" si="287"/>
        <v>#N/A</v>
      </c>
      <c r="DJ48" t="e">
        <f t="shared" si="288"/>
        <v>#N/A</v>
      </c>
      <c r="DK48" t="e">
        <f t="shared" si="289"/>
        <v>#N/A</v>
      </c>
      <c r="DL48" t="e">
        <f t="shared" si="290"/>
        <v>#N/A</v>
      </c>
      <c r="DM48" t="e">
        <f t="shared" si="291"/>
        <v>#N/A</v>
      </c>
      <c r="DN48" t="e">
        <f t="shared" si="292"/>
        <v>#N/A</v>
      </c>
      <c r="DO48" t="e">
        <f t="shared" si="293"/>
        <v>#N/A</v>
      </c>
      <c r="DP48" s="210" t="e">
        <f>IF(DS44&gt;0.4,"u0.5",IF(DS45&gt;0.52,"U1.5",IF(DS46&gt;0.721,"u2.5",IF(DS47&gt;0.79775,"U3.5",IF(DS48&gt;0.8165,"u4.5","Run")))))</f>
        <v>#N/A</v>
      </c>
      <c r="DQ48" s="210" t="e">
        <f>IF(DT48&gt;0.55,"O4.5",IF(DT47&gt;0.69775,"O3.5",IF(DT46&gt;0.7,"O2.5",IF(DT45&gt;0.79,"O1.5",IF(DT44&gt;0.92,"O0.5","Run")))))</f>
        <v>#N/A</v>
      </c>
      <c r="DR48">
        <f t="shared" si="304"/>
        <v>4.5</v>
      </c>
      <c r="DS48" t="e">
        <f>DS47+SUM(DN44,DM45,DL46,DK47,DJ48)</f>
        <v>#N/A</v>
      </c>
      <c r="DT48" t="e">
        <f>DU44-DS48</f>
        <v>#N/A</v>
      </c>
    </row>
    <row r="49" spans="8:8" ht="15.75" customHeight="1">
      <c r="E49" s="201">
        <v>2.0</v>
      </c>
      <c r="F49" s="202" t="s">
        <v>81</v>
      </c>
      <c r="G49" s="203">
        <v>1.0</v>
      </c>
      <c r="H49">
        <f t="shared" si="239"/>
        <v>0.06130736527381886</v>
      </c>
      <c r="I49">
        <f t="shared" si="240"/>
        <v>3.0</v>
      </c>
      <c r="J49">
        <f t="shared" si="305"/>
        <v>3.0</v>
      </c>
      <c r="K49">
        <f>COUNTIF(K44:K47,"under")</f>
        <v>1.0</v>
      </c>
      <c r="L49">
        <f t="shared" si="294"/>
        <v>5.0</v>
      </c>
      <c r="M49">
        <f t="shared" si="255"/>
        <v>0.048684747954761465</v>
      </c>
      <c r="N49">
        <f t="shared" si="256"/>
        <v>0.004822623061064966</v>
      </c>
      <c r="O49">
        <f t="shared" si="257"/>
        <v>0.011150135105010225</v>
      </c>
      <c r="P49">
        <f t="shared" si="258"/>
        <v>0.012889822746433651</v>
      </c>
      <c r="Q49">
        <f t="shared" si="259"/>
        <v>0.009933962166958934</v>
      </c>
      <c r="R49">
        <f t="shared" si="260"/>
        <v>0.005741948877567488</v>
      </c>
      <c r="S49">
        <f t="shared" si="261"/>
        <v>0.0026551320698408962</v>
      </c>
      <c r="V49" s="210" t="s">
        <v>87</v>
      </c>
      <c r="W49" s="210" t="str">
        <f>IF(W44&gt;0.46,"u0.5",IF(W45&gt;0.688,"U1.5",IF(W46&gt;0.855,"u2.5",IF(W47&gt;0.908,"U3.5",IF(W48&gt;0.93,"u4.5","Run")))))</f>
        <v>Run</v>
      </c>
      <c r="X49" s="210" t="str">
        <f>IF(X48&gt;0.77,"O4.5",IF(X47&gt;0.79,"O3.5",IF(X46&gt;0.84,"O2.5",IF(X45&gt;0.855,"O1.5",IF(X44&gt;0.88,"O0.5","Run")))))</f>
        <v>O1.5</v>
      </c>
      <c r="AD49" s="201">
        <v>2.0</v>
      </c>
      <c r="AE49" s="202" t="s">
        <v>81</v>
      </c>
      <c r="AF49" s="203">
        <v>1.0</v>
      </c>
      <c r="AG49">
        <f t="shared" si="242"/>
        <v>0.08311111290544192</v>
      </c>
      <c r="AH49">
        <f t="shared" si="243"/>
        <v>5.0</v>
      </c>
      <c r="AI49">
        <f t="shared" si="306"/>
        <v>1.0</v>
      </c>
      <c r="AJ49">
        <f>COUNTIF(AJ44:AJ47,"under")</f>
        <v>1.0</v>
      </c>
      <c r="AK49">
        <f t="shared" si="297"/>
        <v>5.0</v>
      </c>
      <c r="AL49">
        <f t="shared" si="263"/>
        <v>0.00851190463689051</v>
      </c>
      <c r="AM49">
        <f t="shared" si="264"/>
        <v>0.0037899476667805996</v>
      </c>
      <c r="AN49">
        <f t="shared" si="265"/>
        <v>0.003066497891228352</v>
      </c>
      <c r="AO49">
        <f t="shared" si="266"/>
        <v>0.001240572448972063</v>
      </c>
      <c r="AP49">
        <f t="shared" si="267"/>
        <v>3.345879796734628E-4</v>
      </c>
      <c r="AQ49">
        <f t="shared" si="268"/>
        <v>6.767991436215426E-5</v>
      </c>
      <c r="AR49">
        <f t="shared" si="269"/>
        <v>1.0952146726941914E-5</v>
      </c>
      <c r="AU49" s="210" t="s">
        <v>87</v>
      </c>
      <c r="AV49" s="210" t="str">
        <f>IF(AV44&gt;0.46,"u0.5",IF(AV45&gt;0.688,"U1.5",IF(AV46&gt;0.855,"u2.5",IF(AV47&gt;0.908,"U3.5",IF(AV48&gt;0.93,"u4.5","Run")))))</f>
        <v>u4.5</v>
      </c>
      <c r="AW49" s="210" t="str">
        <f>IF(AW48&gt;0.77,"O4.5",IF(AW47&gt;0.79,"O3.5",IF(AW46&gt;0.84,"O2.5",IF(AW45&gt;0.855,"O1.5",IF(AW44&gt;0.88,"O0.5","Run")))))</f>
        <v>Run</v>
      </c>
      <c r="BC49" s="201">
        <v>2.0</v>
      </c>
      <c r="BD49" s="202" t="s">
        <v>81</v>
      </c>
      <c r="BE49" s="203">
        <v>1.0</v>
      </c>
      <c r="BF49">
        <f t="shared" si="245"/>
        <v>0.08311111290544192</v>
      </c>
      <c r="BG49">
        <f t="shared" si="246"/>
        <v>5.0</v>
      </c>
      <c r="BH49">
        <f t="shared" si="307"/>
        <v>1.0</v>
      </c>
      <c r="BI49">
        <f>COUNTIF(BI44:BI47,"under")</f>
        <v>1.0</v>
      </c>
      <c r="BJ49">
        <f t="shared" si="299"/>
        <v>5.0</v>
      </c>
      <c r="BK49">
        <f t="shared" si="271"/>
        <v>0.00851190463689051</v>
      </c>
      <c r="BL49">
        <f t="shared" si="272"/>
        <v>0.0037899476667805996</v>
      </c>
      <c r="BM49">
        <f t="shared" si="273"/>
        <v>0.003066497891228352</v>
      </c>
      <c r="BN49">
        <f t="shared" si="274"/>
        <v>0.001240572448972063</v>
      </c>
      <c r="BO49">
        <f t="shared" si="275"/>
        <v>3.345879796734628E-4</v>
      </c>
      <c r="BP49">
        <f t="shared" si="276"/>
        <v>6.767991436215426E-5</v>
      </c>
      <c r="BQ49">
        <f t="shared" si="277"/>
        <v>1.0952146726941914E-5</v>
      </c>
      <c r="BT49" s="210" t="s">
        <v>87</v>
      </c>
      <c r="BU49" s="210" t="str">
        <f>IF(BU44&gt;0.46,"u0.5",IF(BU45&gt;0.688,"U1.5",IF(BU46&gt;0.855,"u2.5",IF(BU47&gt;0.908,"U3.5",IF(BU48&gt;0.93,"u4.5","Run")))))</f>
        <v>u4.5</v>
      </c>
      <c r="BV49" s="210" t="str">
        <f>IF(BV48&gt;0.77,"O4.5",IF(BV47&gt;0.79,"O3.5",IF(BV46&gt;0.84,"O2.5",IF(BV45&gt;0.855,"O1.5",IF(BV44&gt;0.88,"O0.5","Run")))))</f>
        <v>Run</v>
      </c>
      <c r="CB49" s="201">
        <v>2.0</v>
      </c>
      <c r="CC49" s="202" t="s">
        <v>81</v>
      </c>
      <c r="CD49" s="203">
        <v>1.0</v>
      </c>
      <c r="CE49">
        <f t="shared" si="248"/>
        <v>0.06130736527381886</v>
      </c>
      <c r="CF49">
        <f t="shared" si="249"/>
        <v>3.0</v>
      </c>
      <c r="CG49">
        <f t="shared" si="308"/>
        <v>3.0</v>
      </c>
      <c r="CH49">
        <f>COUNTIF(CH44:CH47,"under")</f>
        <v>1.0</v>
      </c>
      <c r="CI49">
        <f t="shared" si="301"/>
        <v>5.0</v>
      </c>
      <c r="CJ49">
        <f t="shared" si="279"/>
        <v>0.048684747954761465</v>
      </c>
      <c r="CK49">
        <f t="shared" si="280"/>
        <v>0.004822623061064966</v>
      </c>
      <c r="CL49">
        <f t="shared" si="281"/>
        <v>0.011150135105010225</v>
      </c>
      <c r="CM49">
        <f t="shared" si="282"/>
        <v>0.012889822746433651</v>
      </c>
      <c r="CN49">
        <f t="shared" si="283"/>
        <v>0.009933962166958934</v>
      </c>
      <c r="CO49">
        <f t="shared" si="284"/>
        <v>0.005741948877567488</v>
      </c>
      <c r="CP49">
        <f t="shared" si="285"/>
        <v>0.0026551320698408962</v>
      </c>
      <c r="CS49" s="210" t="s">
        <v>87</v>
      </c>
      <c r="CT49" s="210" t="str">
        <f>IF(CT44&gt;0.46,"u0.5",IF(CT45&gt;0.688,"U1.5",IF(CT46&gt;0.855,"u2.5",IF(CT47&gt;0.908,"U3.5",IF(CT48&gt;0.93,"u4.5","Run")))))</f>
        <v>Run</v>
      </c>
      <c r="CU49" s="210" t="str">
        <f>IF(CU48&gt;0.77,"O4.5",IF(CU47&gt;0.79,"O3.5",IF(CU46&gt;0.84,"O2.5",IF(CU45&gt;0.855,"O1.5",IF(CU44&gt;0.88,"O0.5","Run")))))</f>
        <v>O1.5</v>
      </c>
      <c r="DA49" s="201">
        <v>2.0</v>
      </c>
      <c r="DB49" s="202" t="s">
        <v>81</v>
      </c>
      <c r="DC49" s="203">
        <v>1.0</v>
      </c>
      <c r="DD49" t="e">
        <f t="shared" si="251"/>
        <v>#N/A</v>
      </c>
      <c r="DE49" t="e">
        <f t="shared" si="252"/>
        <v>#N/A</v>
      </c>
      <c r="DF49" t="e">
        <f t="shared" si="309"/>
        <v>#N/A</v>
      </c>
      <c r="DG49">
        <f>COUNTIF(DG44:DG47,"under")</f>
        <v>0.0</v>
      </c>
      <c r="DH49">
        <f t="shared" si="303"/>
        <v>5.0</v>
      </c>
      <c r="DI49" t="e">
        <f t="shared" si="287"/>
        <v>#N/A</v>
      </c>
      <c r="DJ49" t="e">
        <f t="shared" si="288"/>
        <v>#N/A</v>
      </c>
      <c r="DK49" t="e">
        <f t="shared" si="289"/>
        <v>#N/A</v>
      </c>
      <c r="DL49" t="e">
        <f t="shared" si="290"/>
        <v>#N/A</v>
      </c>
      <c r="DM49" t="e">
        <f t="shared" si="291"/>
        <v>#N/A</v>
      </c>
      <c r="DN49" t="e">
        <f t="shared" si="292"/>
        <v>#N/A</v>
      </c>
      <c r="DO49" t="e">
        <f t="shared" si="293"/>
        <v>#N/A</v>
      </c>
      <c r="DR49" s="210" t="s">
        <v>87</v>
      </c>
      <c r="DS49" s="210" t="e">
        <f>IF(DS44&gt;0.46,"u0.5",IF(DS45&gt;0.688,"U1.5",IF(DS46&gt;0.855,"u2.5",IF(DS47&gt;0.908,"U3.5",IF(DS48&gt;0.93,"u4.5","Run")))))</f>
        <v>#N/A</v>
      </c>
      <c r="DT49" s="210" t="e">
        <f>IF(DT48&gt;0.77,"O4.5",IF(DT47&gt;0.79,"O3.5",IF(DT46&gt;0.84,"O2.5",IF(DT45&gt;0.855,"O1.5",IF(DT44&gt;0.88,"O0.5","Run")))))</f>
        <v>#N/A</v>
      </c>
    </row>
    <row r="50" spans="8:8" ht="15.75" customHeight="1">
      <c r="E50" s="201">
        <v>1.0</v>
      </c>
      <c r="F50" s="202" t="s">
        <v>81</v>
      </c>
      <c r="G50" s="203">
        <v>3.0</v>
      </c>
      <c r="H50">
        <f t="shared" si="239"/>
        <v>0.04925066635476256</v>
      </c>
      <c r="I50">
        <f t="shared" si="240"/>
        <v>7.0</v>
      </c>
      <c r="J50">
        <f t="shared" si="305"/>
        <v>2.0</v>
      </c>
      <c r="K50">
        <f>COUNTIF(K44:K47,"0")</f>
        <v>2.0</v>
      </c>
      <c r="Q50" s="192">
        <f>SUM(N46:O49,N45,P47,P48,P49,Q48,Q49,R49)*100</f>
        <v>36.10608476486259</v>
      </c>
      <c r="R50" s="192"/>
      <c r="S50" s="192"/>
      <c r="T50" s="192">
        <f>SUM(N44,O45,P46,Q47,R48,S49)*100</f>
        <v>19.29150566610587</v>
      </c>
      <c r="V50" s="192"/>
      <c r="W50" s="192" t="s">
        <v>88</v>
      </c>
      <c r="X50" s="192" t="s">
        <v>89</v>
      </c>
      <c r="AD50" s="201">
        <v>1.0</v>
      </c>
      <c r="AE50" s="202" t="s">
        <v>81</v>
      </c>
      <c r="AF50" s="203">
        <v>3.0</v>
      </c>
      <c r="AG50">
        <f t="shared" si="242"/>
        <v>0.013915916579685621</v>
      </c>
      <c r="AH50">
        <f t="shared" si="243"/>
        <v>13.0</v>
      </c>
      <c r="AI50">
        <f t="shared" si="306"/>
        <v>1.0</v>
      </c>
      <c r="AJ50">
        <f>COUNTIF(AJ44:AJ47,"0")</f>
        <v>0.0</v>
      </c>
      <c r="AP50" s="192">
        <f>SUM(AM46:AN49,AM45,AO47,AO48,AO49,AP48,AP49,AQ49)*100</f>
        <v>47.96425329112065</v>
      </c>
      <c r="AQ50" s="192"/>
      <c r="AR50" s="192"/>
      <c r="AS50" s="192">
        <f>SUM(AM44,AN45,AO46,AP47,AQ48,AR49)*100</f>
        <v>28.63181947001936</v>
      </c>
      <c r="AU50" s="192"/>
      <c r="AV50" s="192" t="s">
        <v>88</v>
      </c>
      <c r="AW50" s="192" t="s">
        <v>89</v>
      </c>
      <c r="BC50" s="201">
        <v>1.0</v>
      </c>
      <c r="BD50" s="202" t="s">
        <v>81</v>
      </c>
      <c r="BE50" s="203">
        <v>3.0</v>
      </c>
      <c r="BF50">
        <f t="shared" si="245"/>
        <v>0.013915916579685621</v>
      </c>
      <c r="BG50">
        <f t="shared" si="246"/>
        <v>13.0</v>
      </c>
      <c r="BH50">
        <f t="shared" si="307"/>
        <v>1.0</v>
      </c>
      <c r="BI50">
        <f>COUNTIF(BI44:BI47,"0")</f>
        <v>0.0</v>
      </c>
      <c r="BN50" s="192"/>
      <c r="BO50" s="192">
        <f>SUM(BL46:BM49,BL45,BN47,BN48,BN49,BO48,BO49,BP49)*100</f>
        <v>47.96425329112065</v>
      </c>
      <c r="BP50" s="192"/>
      <c r="BQ50" s="192"/>
      <c r="BR50" s="192">
        <f>SUM(BL44,BM45,BN46,BO47,BP48,BQ49)*100</f>
        <v>28.63181947001936</v>
      </c>
      <c r="BT50" s="192"/>
      <c r="BU50" s="192" t="s">
        <v>88</v>
      </c>
      <c r="BV50" s="192" t="s">
        <v>89</v>
      </c>
      <c r="CB50" s="201">
        <v>1.0</v>
      </c>
      <c r="CC50" s="202" t="s">
        <v>81</v>
      </c>
      <c r="CD50" s="203">
        <v>3.0</v>
      </c>
      <c r="CE50">
        <f t="shared" si="248"/>
        <v>0.04925066635476256</v>
      </c>
      <c r="CF50">
        <f t="shared" si="249"/>
        <v>7.0</v>
      </c>
      <c r="CG50">
        <f t="shared" si="308"/>
        <v>2.0</v>
      </c>
      <c r="CH50">
        <f>COUNTIF(CH44:CH47,"0")</f>
        <v>2.0</v>
      </c>
      <c r="CM50" s="192"/>
      <c r="CN50" s="192">
        <f>SUM(CK46:CL49,CK45,CM47,CM48,CM49,CN48,CN49,CO49)*100</f>
        <v>36.10608476486259</v>
      </c>
      <c r="CO50" s="192"/>
      <c r="CP50" s="192"/>
      <c r="CQ50" s="192" t="s">
        <v>109</v>
      </c>
      <c r="CS50" s="192"/>
      <c r="CT50" s="192" t="s">
        <v>88</v>
      </c>
      <c r="CU50" s="192" t="s">
        <v>89</v>
      </c>
      <c r="DA50" s="201">
        <v>1.0</v>
      </c>
      <c r="DB50" s="202" t="s">
        <v>81</v>
      </c>
      <c r="DC50" s="203">
        <v>3.0</v>
      </c>
      <c r="DD50" t="e">
        <f t="shared" si="251"/>
        <v>#N/A</v>
      </c>
      <c r="DE50" t="e">
        <f t="shared" si="252"/>
        <v>#N/A</v>
      </c>
      <c r="DF50" t="e">
        <f t="shared" si="309"/>
        <v>#N/A</v>
      </c>
      <c r="DG50">
        <f>COUNTIF(DG44:DG47,"0")</f>
        <v>0.0</v>
      </c>
      <c r="DL50" s="192"/>
      <c r="DM50" s="192" t="e">
        <f>SUM(DJ46:DK49,DJ45,DL47,DL48,DL49,DM48,DM49,DN49)*100</f>
        <v>#N/A</v>
      </c>
      <c r="DN50" s="192"/>
      <c r="DO50" s="192"/>
      <c r="DP50" s="192" t="e">
        <f>SUM(DJ44,DK45,DL46,DM47,DN48,DO49)*100</f>
        <v>#N/A</v>
      </c>
      <c r="DR50" s="192"/>
      <c r="DS50" s="192" t="s">
        <v>88</v>
      </c>
      <c r="DT50" s="192" t="s">
        <v>89</v>
      </c>
    </row>
    <row r="51" spans="8:8" ht="15.75" customHeight="1">
      <c r="E51" s="201">
        <v>2.0</v>
      </c>
      <c r="F51" s="202" t="s">
        <v>81</v>
      </c>
      <c r="G51" s="203">
        <v>2.0</v>
      </c>
      <c r="H51">
        <f t="shared" si="239"/>
        <v>0.07087277992490855</v>
      </c>
      <c r="I51">
        <f t="shared" si="240"/>
        <v>1.0</v>
      </c>
      <c r="J51">
        <f t="shared" si="305"/>
        <v>1.0</v>
      </c>
      <c r="K51">
        <f>COUNTIF(K44:K47,"rt")</f>
        <v>1.0</v>
      </c>
      <c r="P51" s="192" t="s">
        <v>87</v>
      </c>
      <c r="Q51" s="192" t="str">
        <f>IF(Q50&gt;75,"1",IF(Q50&gt;54,"1X",IF(Q50&gt;49,"Hadicap 2H",IF(T44&gt;75,"2",IF(T44&gt;54,"X2",IF(T44&gt;49,"Handiap 2A",IF(T50&gt;75,"X",IF(T50&gt;60,"likely X",IF(T50&lt;13,"12","don’t choose")))))))))</f>
        <v>don’t choose</v>
      </c>
      <c r="V51" s="212" t="s">
        <v>90</v>
      </c>
      <c r="W51" s="212">
        <f>SUM(O45:S49)</f>
        <v>0.7531701340915061</v>
      </c>
      <c r="X51" s="212">
        <f>SUM(N44:S44,N45:N49)</f>
        <v>0.19121230175790702</v>
      </c>
      <c r="AD51" s="201">
        <v>2.0</v>
      </c>
      <c r="AE51" s="202" t="s">
        <v>81</v>
      </c>
      <c r="AF51" s="203">
        <v>2.0</v>
      </c>
      <c r="AG51">
        <f t="shared" si="242"/>
        <v>0.03362316249061453</v>
      </c>
      <c r="AH51">
        <f t="shared" si="243"/>
        <v>10.0</v>
      </c>
      <c r="AI51">
        <f t="shared" si="306"/>
        <v>3.0</v>
      </c>
      <c r="AJ51">
        <f>COUNTIF(AJ44:AJ47,"rt")</f>
        <v>0.0</v>
      </c>
      <c r="AO51" s="192" t="s">
        <v>87</v>
      </c>
      <c r="AP51" s="192" t="str">
        <f>IF(AP50&gt;75,"1",IF(AP50&gt;54,"1X",IF(AP50&gt;49,"Hadicap 2H",IF(AS44&gt;75,"2",IF(AS44&gt;54,"X2",IF(AS44&gt;49,"Handiap 2A",IF(AS50&gt;75,"X",IF(AS50&gt;60,"likely X",IF(AS50&lt;13,"12","don’t choose")))))))))</f>
        <v>don’t choose</v>
      </c>
      <c r="AU51" s="212" t="s">
        <v>90</v>
      </c>
      <c r="AV51" s="212">
        <f>SUM(AN45:AR49)</f>
        <v>0.4026643280451479</v>
      </c>
      <c r="AW51" s="212">
        <f>SUM(AM44:AR44,AM45:AM49)</f>
        <v>0.5948817423338976</v>
      </c>
      <c r="BC51" s="201">
        <v>2.0</v>
      </c>
      <c r="BD51" s="202" t="s">
        <v>81</v>
      </c>
      <c r="BE51" s="203">
        <v>2.0</v>
      </c>
      <c r="BF51">
        <f t="shared" si="245"/>
        <v>0.03362316249061453</v>
      </c>
      <c r="BG51">
        <f t="shared" si="246"/>
        <v>10.0</v>
      </c>
      <c r="BH51">
        <f t="shared" si="307"/>
        <v>3.0</v>
      </c>
      <c r="BI51">
        <f>COUNTIF(BI44:BI47,"rt")</f>
        <v>0.0</v>
      </c>
      <c r="BN51" s="192" t="s">
        <v>87</v>
      </c>
      <c r="BO51" s="192" t="str">
        <f>IF(BO50&gt;75,"1",IF(BO50&gt;54,"1X",IF(BO50&gt;49,"Hadicap 2H",IF(BR44&gt;75,"2",IF(BR44&gt;54,"X2",IF(BR44&gt;49,"Handiap 2A",IF(BR50&gt;75,"X",IF(BR50&gt;60,"likely X",IF(BR50&lt;13,"12","don’t choose")))))))))</f>
        <v>don’t choose</v>
      </c>
      <c r="BP51" s="192"/>
      <c r="BQ51" s="192"/>
      <c r="BR51" s="192"/>
      <c r="BT51" s="212" t="s">
        <v>90</v>
      </c>
      <c r="BU51" s="212">
        <f>SUM(BM45:BQ49)</f>
        <v>0.4026643280451479</v>
      </c>
      <c r="BV51" s="212">
        <f>SUM(BL44:BQ44,BL45:BL49)</f>
        <v>0.5948817423338976</v>
      </c>
      <c r="CB51" s="201">
        <v>2.0</v>
      </c>
      <c r="CC51" s="202" t="s">
        <v>81</v>
      </c>
      <c r="CD51" s="203">
        <v>2.0</v>
      </c>
      <c r="CE51">
        <f t="shared" si="248"/>
        <v>0.07087277992490855</v>
      </c>
      <c r="CF51">
        <f t="shared" si="249"/>
        <v>1.0</v>
      </c>
      <c r="CG51">
        <f t="shared" si="308"/>
        <v>1.0</v>
      </c>
      <c r="CH51">
        <f>COUNTIF(CH44:CH47,"rt")</f>
        <v>1.0</v>
      </c>
      <c r="CM51" s="192" t="s">
        <v>87</v>
      </c>
      <c r="CN51" s="192" t="str">
        <f>IF(CN50&gt;75,"1",IF(CN50&gt;54,"1X",IF(CN50&gt;49,"Hadicap 2H",IF(CQ44&gt;75,"2",IF(CQ44&gt;54,"X2",IF(CQ44&gt;49,"Handiap 2A",IF(CQ50&gt;75,"X",IF(CQ50&gt;60,"likely X",IF(CQ50&lt;13,"12","don’t choose")))))))))</f>
        <v>X</v>
      </c>
      <c r="CO51" s="192"/>
      <c r="CP51" s="192"/>
      <c r="CQ51" s="192"/>
      <c r="CS51" s="212" t="s">
        <v>90</v>
      </c>
      <c r="CT51" s="212">
        <f>SUM(CL45:CP49)</f>
        <v>0.7531701340915061</v>
      </c>
      <c r="CU51" s="212">
        <f>SUM(CK44:CP44,CK45:CK49)</f>
        <v>0.19121230175790702</v>
      </c>
      <c r="DA51" s="201">
        <v>2.0</v>
      </c>
      <c r="DB51" s="202" t="s">
        <v>81</v>
      </c>
      <c r="DC51" s="203">
        <v>2.0</v>
      </c>
      <c r="DD51" t="e">
        <f t="shared" si="251"/>
        <v>#N/A</v>
      </c>
      <c r="DE51" t="e">
        <f t="shared" si="252"/>
        <v>#N/A</v>
      </c>
      <c r="DF51" t="e">
        <f t="shared" si="309"/>
        <v>#N/A</v>
      </c>
      <c r="DG51">
        <f>COUNTIF(DG44:DG47,"rt")</f>
        <v>0.0</v>
      </c>
      <c r="DL51" s="192" t="s">
        <v>87</v>
      </c>
      <c r="DM51" s="192" t="e">
        <f>IF(DM50&gt;75,"1",IF(DM50&gt;54,"1X",IF(DM50&gt;49,"Hadicap 2H",IF(DP44&gt;75,"2",IF(DP44&gt;54,"X2",IF(DP44&gt;49,"Handiap 2A",IF(DP50&gt;75,"X",IF(DP50&gt;60,"likely X",IF(DP50&lt;13,"12","don’t choose")))))))))</f>
        <v>#N/A</v>
      </c>
      <c r="DN51" s="192"/>
      <c r="DO51" s="192"/>
      <c r="DP51" s="192"/>
      <c r="DR51" s="212" t="s">
        <v>90</v>
      </c>
      <c r="DS51" s="212" t="e">
        <f>SUM(DK45:DO49)</f>
        <v>#N/A</v>
      </c>
      <c r="DT51" s="212" t="e">
        <f>SUM(DJ44:DO44,DJ45:DJ49)</f>
        <v>#N/A</v>
      </c>
    </row>
    <row r="52" spans="8:8" ht="15.75" customHeight="1">
      <c r="E52" s="201">
        <v>3.0</v>
      </c>
      <c r="F52" s="202" t="s">
        <v>81</v>
      </c>
      <c r="G52" s="203">
        <v>1.0</v>
      </c>
      <c r="H52">
        <f t="shared" si="239"/>
        <v>0.04532776513883474</v>
      </c>
      <c r="I52">
        <f t="shared" si="240"/>
        <v>8.0</v>
      </c>
      <c r="J52">
        <f>SUM(J48:J51)</f>
        <v>6.0</v>
      </c>
      <c r="K52" t="str">
        <f>IF(K51&gt;0,"Rt",IF(K48&gt;3,"u2.5",IF(AND(K48&gt;2,K49&gt;0),"u2.5",IF(AND(K49&gt;K48,K49&gt;K50),"u3.5",IF(AND(K50&gt;K49,K50&gt;K48),"o2.5","u4.5")))))</f>
        <v>Rt</v>
      </c>
      <c r="L52" t="s">
        <v>6</v>
      </c>
      <c r="M52" t="s">
        <v>8</v>
      </c>
      <c r="Q52">
        <f>SUM(N44:N49,O46:O49, ,O45,P46:P49,Q47:Q49,R48:R49,S49)</f>
        <v>0.5539759043096847</v>
      </c>
      <c r="R52">
        <f>(T44+T50)/100</f>
        <v>0.5833215882007873</v>
      </c>
      <c r="V52" s="212" t="s">
        <v>87</v>
      </c>
      <c r="W52" s="212" t="str">
        <f>IF(X51&gt;0.8,"NO GG",IF(W51&gt;0.81,"GG","run"))</f>
        <v>run</v>
      </c>
      <c r="X52" s="212"/>
      <c r="AD52" s="201">
        <v>3.0</v>
      </c>
      <c r="AE52" s="202" t="s">
        <v>81</v>
      </c>
      <c r="AF52" s="203">
        <v>1.0</v>
      </c>
      <c r="AG52">
        <f t="shared" si="242"/>
        <v>0.03610628318688741</v>
      </c>
      <c r="AH52">
        <f t="shared" si="243"/>
        <v>9.0</v>
      </c>
      <c r="AI52">
        <f>SUM(AI48:AI51)</f>
        <v>7.0</v>
      </c>
      <c r="AJ52" t="str">
        <f>IF(AJ51&gt;0,"Rt",IF(AJ48&gt;3,"u2.5",IF(AND(AJ48&gt;2,AJ49&gt;0),"u2.5",IF(AND(AJ49&gt;AJ48,AJ49&gt;AJ50),"u3.5",IF(AND(AJ50&gt;AJ49,AJ50&gt;AJ48),"o2.5","u4.5")))))</f>
        <v>u2.5</v>
      </c>
      <c r="AK52" t="s">
        <v>96</v>
      </c>
      <c r="AL52" t="s">
        <v>95</v>
      </c>
      <c r="AO52" s="192"/>
      <c r="AP52" s="192">
        <f>SUM(AM44:AM49,AN45:AN49,AO46:AO49,AP47:AP49,AQ48:AQ49,AR49)</f>
        <v>0.7659607276114001</v>
      </c>
      <c r="AQ52" s="192">
        <f>SUM(AR44:AR49,AQ44:AQ48,AP44:AP47,AO44:AO46,AN44:AN45,AM44)</f>
        <v>0.5179035374678389</v>
      </c>
      <c r="AR52" s="192">
        <f>SUM(AP52,AQ52)</f>
        <v>1.283864265079239</v>
      </c>
      <c r="AU52" s="212" t="s">
        <v>87</v>
      </c>
      <c r="AV52" s="212" t="str">
        <f>IF(AW51&gt;0.8,"NO GG",IF(AV51&gt;0.81,"GG","run"))</f>
        <v>run</v>
      </c>
      <c r="AW52" s="212"/>
      <c r="BC52" s="201">
        <v>3.0</v>
      </c>
      <c r="BD52" s="202" t="s">
        <v>81</v>
      </c>
      <c r="BE52" s="203">
        <v>1.0</v>
      </c>
      <c r="BF52">
        <f t="shared" si="245"/>
        <v>0.03610628318688741</v>
      </c>
      <c r="BG52">
        <f t="shared" si="246"/>
        <v>9.0</v>
      </c>
      <c r="BH52">
        <f>SUM(BH48:BH51)</f>
        <v>7.0</v>
      </c>
      <c r="BI52" t="str">
        <f>IF(BI51&gt;0,"Rt",IF(BI48&gt;3,"u2.5",IF(AND(BI48&gt;2,BI49&gt;0),"u2.5",IF(AND(BI49&gt;BI48,BI49&gt;BI50),"u3.5",IF(AND(BI50&gt;BI49,BI50&gt;BI48),"o2.5","u4.5")))))</f>
        <v>u2.5</v>
      </c>
      <c r="BJ52">
        <f t="shared" si="310" ref="BJ52:BJ66">BJ19-$BJ$34</f>
        <v>-6.424306816841981E-4</v>
      </c>
      <c r="BK52">
        <f t="shared" si="311" ref="BK52:BK66">BK19-$BK$34</f>
        <v>-0.0010960071512777017</v>
      </c>
      <c r="BL52">
        <f t="shared" si="312" ref="BL52:BM52">BJ52*BJ52</f>
        <v>4.1271718076922344E-7</v>
      </c>
      <c r="BM52">
        <f t="shared" si="312"/>
        <v>1.2012316756518628E-6</v>
      </c>
      <c r="BN52" s="192"/>
      <c r="BO52" s="192">
        <f>SUM(BL44:BL49,BM45:BM49,BN46:BN49,BO47:BO49,BP48:BP49,BQ49)</f>
        <v>0.7659607276114001</v>
      </c>
      <c r="BP52" s="192">
        <f>SUM(BQ44:BQ49,BP44:BP48,BO44:BO47,BN44:BN46,BM44:BM45,BL44)</f>
        <v>0.5179035374678389</v>
      </c>
      <c r="BQ52" s="192">
        <f>SUM(BO52,BP52)</f>
        <v>1.283864265079239</v>
      </c>
      <c r="BT52" s="212" t="s">
        <v>87</v>
      </c>
      <c r="BU52" s="212" t="str">
        <f>IF(BV51&gt;0.8,"NO GG",IF(BU51&gt;0.81,"GG","run"))</f>
        <v>run</v>
      </c>
      <c r="BV52" s="212"/>
      <c r="CB52" s="201">
        <v>3.0</v>
      </c>
      <c r="CC52" s="202" t="s">
        <v>81</v>
      </c>
      <c r="CD52" s="203">
        <v>1.0</v>
      </c>
      <c r="CE52">
        <f t="shared" si="248"/>
        <v>0.04532776513883474</v>
      </c>
      <c r="CF52">
        <f t="shared" si="249"/>
        <v>8.0</v>
      </c>
      <c r="CG52">
        <f>SUM(CG48:CG51)</f>
        <v>6.0</v>
      </c>
      <c r="CH52" t="str">
        <f>IF(CH51&gt;0,"Rt",IF(CH48&gt;3,"u2.5",IF(AND(CH48&gt;2,CH49&gt;0),"u2.5",IF(AND(CH49&gt;CH48,CH49&gt;CH50),"u3.5",IF(AND(CH50&gt;CH49,CH50&gt;CH48),"o2.5","u4.5")))))</f>
        <v>Rt</v>
      </c>
      <c r="CM52" s="192"/>
      <c r="CN52" s="192">
        <f>SUM(CK44:CK49,CL45:CL49,CM46:CM49,CN47:CN49,CO48:CO49,CP49)</f>
        <v>0.5539759043096847</v>
      </c>
      <c r="CO52" s="192">
        <f>SUM(CP44:CP49,CO44:CO48,CN44:CN47,CM44:CM46,CL44:CL45,CK44)</f>
        <v>0.5833215882007873</v>
      </c>
      <c r="CP52" s="192">
        <f>SUM(CN52,CO52)</f>
        <v>1.137297492510472</v>
      </c>
      <c r="CS52" s="212" t="s">
        <v>87</v>
      </c>
      <c r="CT52" s="212" t="str">
        <f>IF(CU51&gt;0.8,"NO GG",IF(CT51&gt;0.81,"GG","run"))</f>
        <v>run</v>
      </c>
      <c r="CU52" s="212"/>
      <c r="DA52" s="201">
        <v>3.0</v>
      </c>
      <c r="DB52" s="202" t="s">
        <v>81</v>
      </c>
      <c r="DC52" s="203">
        <v>1.0</v>
      </c>
      <c r="DD52" t="e">
        <f t="shared" si="251"/>
        <v>#N/A</v>
      </c>
      <c r="DE52" t="e">
        <f t="shared" si="252"/>
        <v>#N/A</v>
      </c>
      <c r="DF52" t="e">
        <f>SUM(DF48:DF51)</f>
        <v>#N/A</v>
      </c>
      <c r="DG52" t="str">
        <f>IF(DG51&gt;0,"Rt",IF(DG48&gt;3,"u2.5",IF(AND(DG48&gt;2,DG49&gt;0),"u2.5",IF(AND(DG49&gt;DG48,DG49&gt;DG50),"u3.5",IF(AND(DG50&gt;DG49,DG50&gt;DG48),"o2.5","u4.5")))))</f>
        <v>u4.5</v>
      </c>
      <c r="DL52" s="192"/>
      <c r="DM52" s="192" t="e">
        <f>SUM(DJ44:DJ49,DK45:DK49,DL46:DL49,DM47:DM49,DN48:DN49,DO49)</f>
        <v>#N/A</v>
      </c>
      <c r="DN52" s="192" t="e">
        <f>SUM(DO44:DO49,DN44:DN48,DM44:DM47,DL44:DL46,DK44:DK45,DJ44)</f>
        <v>#N/A</v>
      </c>
      <c r="DO52" s="192" t="e">
        <f>SUM(DM52,DN52)</f>
        <v>#N/A</v>
      </c>
      <c r="DR52" s="212" t="s">
        <v>87</v>
      </c>
      <c r="DS52" s="212" t="e">
        <f>IF(DT51&gt;0.8,"NO GG",IF(DS51&gt;0.81,"GG","run"))</f>
        <v>#N/A</v>
      </c>
      <c r="DT52" s="212"/>
    </row>
    <row r="53" spans="8:8" ht="15.75" customHeight="1">
      <c r="E53" s="201">
        <v>3.0</v>
      </c>
      <c r="F53" s="202" t="s">
        <v>81</v>
      </c>
      <c r="G53" s="203">
        <v>0.0</v>
      </c>
      <c r="H53">
        <f t="shared" si="239"/>
        <v>0.019605029302905527</v>
      </c>
      <c r="I53">
        <f t="shared" si="240"/>
        <v>20.0</v>
      </c>
      <c r="J53">
        <f t="shared" si="313" ref="J53:J56">IF(J48=2,3,J48)</f>
        <v>0.0</v>
      </c>
      <c r="K53" t="str">
        <f>IF((K48+K49)&gt;3,"firm",IF((K48+K49+K50)&gt;3,"in line","check"))</f>
        <v>check</v>
      </c>
      <c r="L53">
        <f t="shared" si="314" ref="L53:M53">(L19/$K$35)*100</f>
        <v>44.28747555215175</v>
      </c>
      <c r="M53">
        <f t="shared" si="314"/>
        <v>26.902325010360332</v>
      </c>
      <c r="N53">
        <f t="shared" si="315" ref="N53:N67">L53-M53</f>
        <v>17.385150541791496</v>
      </c>
      <c r="O53">
        <f t="shared" si="316" ref="O53:O67">M53-L53</f>
        <v>-17.385150541791496</v>
      </c>
      <c r="P53" t="s">
        <v>91</v>
      </c>
      <c r="Q53">
        <f>Q52-R52</f>
        <v>-0.029345683891101926</v>
      </c>
      <c r="R53">
        <f>S53/(S53+S53)*100</f>
        <v>50.0</v>
      </c>
      <c r="S53" s="192">
        <f>IF(Q53&lt;0,-Q53,Q53)</f>
        <v>0.029345683891101926</v>
      </c>
      <c r="V53" s="214" t="s">
        <v>92</v>
      </c>
      <c r="W53" s="214" t="s">
        <v>93</v>
      </c>
      <c r="X53" s="192"/>
      <c r="AD53" s="201">
        <v>3.0</v>
      </c>
      <c r="AE53" s="202" t="s">
        <v>81</v>
      </c>
      <c r="AF53" s="203">
        <v>0.0</v>
      </c>
      <c r="AG53">
        <f t="shared" si="242"/>
        <v>0.044624496273646196</v>
      </c>
      <c r="AH53">
        <f t="shared" si="243"/>
        <v>7.0</v>
      </c>
      <c r="AI53">
        <f t="shared" si="317" ref="AI53:AI56">IF(AI48=2,3,AI48)</f>
        <v>3.0</v>
      </c>
      <c r="AJ53" t="str">
        <f>IF((AJ48+AJ49)&gt;3,"firm",IF((AJ48+AJ49+AJ50)&gt;3,"in line","check"))</f>
        <v>firm</v>
      </c>
      <c r="AK53">
        <f t="shared" si="318" ref="AK53:AL53">(AK19/$AJ$35)*100</f>
        <v>6.371734781734545</v>
      </c>
      <c r="AL53">
        <f t="shared" si="318"/>
        <v>6.498692166307222</v>
      </c>
      <c r="AM53">
        <f t="shared" si="319" ref="AM53:AM67">AK53-AL53</f>
        <v>-0.1269573845726697</v>
      </c>
      <c r="AO53" t="s">
        <v>91</v>
      </c>
      <c r="AP53">
        <f>AP52-AQ52</f>
        <v>0.24805719014356098</v>
      </c>
      <c r="AQ53">
        <f>AR53/(AR53+AR53)*100</f>
        <v>50.0</v>
      </c>
      <c r="AR53" s="192">
        <f>IF(AP53&lt;0,-AP53,AP53)</f>
        <v>0.24805719014356098</v>
      </c>
      <c r="AU53" s="214" t="s">
        <v>92</v>
      </c>
      <c r="AV53" s="214" t="s">
        <v>93</v>
      </c>
      <c r="AW53" s="192"/>
      <c r="BC53" s="201">
        <v>3.0</v>
      </c>
      <c r="BD53" s="202" t="s">
        <v>81</v>
      </c>
      <c r="BE53" s="203">
        <v>0.0</v>
      </c>
      <c r="BF53">
        <f t="shared" si="245"/>
        <v>0.044624496273646196</v>
      </c>
      <c r="BG53">
        <f t="shared" si="246"/>
        <v>7.0</v>
      </c>
      <c r="BH53">
        <f t="shared" si="320" ref="BH53:BH56">IF(BH48=2,3,BH48)</f>
        <v>3.0</v>
      </c>
      <c r="BI53" t="str">
        <f>IF((BI48+BI49)&gt;3,"firm",IF((BI48+BI49+BI50)&gt;3,"in line","check"))</f>
        <v>firm</v>
      </c>
      <c r="BJ53">
        <f t="shared" si="310"/>
        <v>0.0023393085227465006</v>
      </c>
      <c r="BK53">
        <f t="shared" si="311"/>
        <v>0.0024920251960318003</v>
      </c>
      <c r="BL53">
        <f t="shared" si="321" ref="BL53:BM53">BJ53*BJ53</f>
        <v>5.472364364594415E-6</v>
      </c>
      <c r="BM53">
        <f t="shared" si="321"/>
        <v>6.210189577657332E-6</v>
      </c>
      <c r="BN53" t="s">
        <v>91</v>
      </c>
      <c r="BO53">
        <f>BO52-BP52</f>
        <v>0.24805719014356098</v>
      </c>
      <c r="BP53">
        <f>BQ53/(BQ53+BQ53)*100</f>
        <v>50.0</v>
      </c>
      <c r="BQ53" s="192">
        <f>IF(BO53&lt;0,-BO53,BO53)</f>
        <v>0.24805719014356098</v>
      </c>
      <c r="BT53" s="214" t="s">
        <v>92</v>
      </c>
      <c r="BU53" s="214" t="s">
        <v>93</v>
      </c>
      <c r="BV53" s="192"/>
      <c r="CB53" s="201">
        <v>3.0</v>
      </c>
      <c r="CC53" s="202" t="s">
        <v>81</v>
      </c>
      <c r="CD53" s="203">
        <v>0.0</v>
      </c>
      <c r="CE53">
        <f t="shared" si="248"/>
        <v>0.019605029302905527</v>
      </c>
      <c r="CF53">
        <f t="shared" si="249"/>
        <v>20.0</v>
      </c>
      <c r="CG53">
        <f t="shared" si="322" ref="CG53:CG56">IF(CG48=2,3,CG48)</f>
        <v>0.0</v>
      </c>
      <c r="CH53" t="str">
        <f>IF((CH48+CH49)&gt;3,"firm",IF((CH48+CH49+CH50)&gt;3,"in line","check"))</f>
        <v>check</v>
      </c>
      <c r="CM53" t="s">
        <v>91</v>
      </c>
      <c r="CN53">
        <f>CN52-CO52</f>
        <v>-0.029345683891101926</v>
      </c>
      <c r="CO53">
        <f>CP53/(CP53+CP53)*100</f>
        <v>50.0</v>
      </c>
      <c r="CP53" s="192">
        <f>IF(CN53&lt;0,-CN53,CN53)</f>
        <v>0.029345683891101926</v>
      </c>
      <c r="CS53" s="214" t="s">
        <v>92</v>
      </c>
      <c r="CT53" s="214" t="s">
        <v>93</v>
      </c>
      <c r="CU53" s="192"/>
      <c r="DA53" s="201">
        <v>3.0</v>
      </c>
      <c r="DB53" s="202" t="s">
        <v>81</v>
      </c>
      <c r="DC53" s="203">
        <v>0.0</v>
      </c>
      <c r="DD53" t="e">
        <f t="shared" si="251"/>
        <v>#N/A</v>
      </c>
      <c r="DE53" t="e">
        <f t="shared" si="252"/>
        <v>#N/A</v>
      </c>
      <c r="DF53" t="e">
        <f t="shared" si="323" ref="DF53:DF56">IF(DF48=2,3,DF48)</f>
        <v>#N/A</v>
      </c>
      <c r="DG53" t="str">
        <f>IF((DG48+DG49)&gt;3,"firm",IF((DG48+DG49+DG50)&gt;3,"in line","check"))</f>
        <v>check</v>
      </c>
      <c r="DL53" t="s">
        <v>91</v>
      </c>
      <c r="DM53" t="e">
        <f>DM52-DN52</f>
        <v>#N/A</v>
      </c>
      <c r="DN53" t="e">
        <f>DO53/(DO53+DO53)*100</f>
        <v>#N/A</v>
      </c>
      <c r="DO53" s="192" t="e">
        <f>IF(DM53&lt;0,-DM53,DM53)</f>
        <v>#N/A</v>
      </c>
      <c r="DR53" s="214" t="s">
        <v>92</v>
      </c>
      <c r="DS53" s="214" t="s">
        <v>93</v>
      </c>
      <c r="DT53" s="192"/>
    </row>
    <row r="54" spans="8:8" ht="15.75" customHeight="1">
      <c r="E54" s="201">
        <v>2.0</v>
      </c>
      <c r="F54" s="202" t="s">
        <v>81</v>
      </c>
      <c r="G54" s="203">
        <v>3.0</v>
      </c>
      <c r="H54">
        <f t="shared" si="239"/>
        <v>0.054620418627249444</v>
      </c>
      <c r="I54">
        <f t="shared" si="240"/>
        <v>5.0</v>
      </c>
      <c r="J54">
        <f t="shared" si="313"/>
        <v>3.0</v>
      </c>
      <c r="L54">
        <f t="shared" si="324" ref="L54:M54">(L20/$K$35)*100</f>
        <v>29.265377535674464</v>
      </c>
      <c r="M54">
        <f t="shared" si="324"/>
        <v>10.798710791907741</v>
      </c>
      <c r="N54">
        <f t="shared" si="315"/>
        <v>18.4666667437668</v>
      </c>
      <c r="O54">
        <f t="shared" si="316"/>
        <v>-18.4666667437668</v>
      </c>
      <c r="P54" s="192" t="s">
        <v>94</v>
      </c>
      <c r="Q54" s="192">
        <f>AVERAGE(Q52,R52)</f>
        <v>0.568648746255236</v>
      </c>
      <c r="R54" s="192"/>
      <c r="S54" s="192"/>
      <c r="V54" s="215">
        <f>SUM(O44,N45,P45,Q46,R47,S48,O46,P47,Q48,R49,P49,O48,N47,N49,Q44,R45,S46,S44)</f>
        <v>0.47218619763503966</v>
      </c>
      <c r="W54" s="215">
        <f>SUM(N44,O45,P46,Q47,R48,S49,P44,Q45,R46,S47,R44,S45,N46,O47,P48,Q49,O49,N48)</f>
        <v>0.47219623821437345</v>
      </c>
      <c r="X54" s="192"/>
      <c r="AD54" s="201">
        <v>2.0</v>
      </c>
      <c r="AE54" s="202" t="s">
        <v>81</v>
      </c>
      <c r="AF54" s="203">
        <v>3.0</v>
      </c>
      <c r="AG54">
        <f t="shared" si="242"/>
        <v>0.009068318434194578</v>
      </c>
      <c r="AH54">
        <f t="shared" si="243"/>
        <v>16.0</v>
      </c>
      <c r="AI54">
        <f t="shared" si="317"/>
        <v>1.0</v>
      </c>
      <c r="AK54">
        <f t="shared" si="325" ref="AK54:AL54">(AK20/$AJ$35)*100</f>
        <v>7.165703994112728</v>
      </c>
      <c r="AL54">
        <f t="shared" si="325"/>
        <v>7.454103428481871</v>
      </c>
      <c r="AM54">
        <f t="shared" si="319"/>
        <v>-0.28839943436914073</v>
      </c>
      <c r="AO54" s="192" t="s">
        <v>94</v>
      </c>
      <c r="AP54" s="192">
        <f>AVERAGE(AP52,AQ52)</f>
        <v>0.6419321325396194</v>
      </c>
      <c r="AQ54" s="192"/>
      <c r="AR54" s="192"/>
      <c r="AU54" s="215">
        <f>SUM(AN44,AM45,AO45,AP46,AQ47,AR48,AN46,AO47,AP48,AQ49,AO49,AN48,AM47,AM49,AP44,AQ45,AR46,AR44)</f>
        <v>0.4916187358215353</v>
      </c>
      <c r="AV54" s="215">
        <f>SUM(AM44,AN45,AO46,AP47,AQ48,AR49,AO44,AP45,AQ46,AR47,AQ44,AR45,AM46,AN47,AO48,AP49,AN49,AM48)</f>
        <v>0.50592733455751</v>
      </c>
      <c r="AW54" s="192"/>
      <c r="BC54" s="201">
        <v>2.0</v>
      </c>
      <c r="BD54" s="202" t="s">
        <v>81</v>
      </c>
      <c r="BE54" s="203">
        <v>3.0</v>
      </c>
      <c r="BF54">
        <f t="shared" si="245"/>
        <v>0.009068318434194578</v>
      </c>
      <c r="BG54">
        <f t="shared" si="246"/>
        <v>16.0</v>
      </c>
      <c r="BH54">
        <f t="shared" si="320"/>
        <v>1.0</v>
      </c>
      <c r="BJ54">
        <f t="shared" si="310"/>
        <v>-0.0043953967719037</v>
      </c>
      <c r="BK54">
        <f t="shared" si="311"/>
        <v>0.0374622927534903</v>
      </c>
      <c r="BL54">
        <f t="shared" si="326" ref="BL54:BM54">BJ54*BJ54</f>
        <v>1.9319512782461467E-5</v>
      </c>
      <c r="BM54">
        <f t="shared" si="326"/>
        <v>0.0014034233783482117</v>
      </c>
      <c r="BN54" s="192" t="s">
        <v>94</v>
      </c>
      <c r="BO54" s="192">
        <f>AVERAGE(BO52,BP52)</f>
        <v>0.6419321325396194</v>
      </c>
      <c r="BP54" s="192"/>
      <c r="BQ54" s="192"/>
      <c r="BT54" s="215">
        <f>SUM(BM44,BL45,BN45,BO46,BP47,BQ48,BM46,BN47,BO48,BP49,BN49,BM48,BL47,BL49,BO44,BP45,BQ46,BQ44)</f>
        <v>0.4916187358215353</v>
      </c>
      <c r="BU54" s="215">
        <f>SUM(BL44,BM45,BN46,BO47,BP48,BQ49,BN44,BO45,BP46,BQ47,BP44,BQ45,BL46,BM47,BN48,BO49,BM49,BL48)</f>
        <v>0.50592733455751</v>
      </c>
      <c r="BV54" s="192"/>
      <c r="CB54" s="201">
        <v>2.0</v>
      </c>
      <c r="CC54" s="202" t="s">
        <v>81</v>
      </c>
      <c r="CD54" s="203">
        <v>3.0</v>
      </c>
      <c r="CE54">
        <f t="shared" si="248"/>
        <v>0.054620418627249444</v>
      </c>
      <c r="CF54">
        <f t="shared" si="249"/>
        <v>5.0</v>
      </c>
      <c r="CG54">
        <f t="shared" si="322"/>
        <v>3.0</v>
      </c>
      <c r="CM54" s="192" t="s">
        <v>94</v>
      </c>
      <c r="CN54" s="192">
        <f>AVERAGE(CN52,CO52)</f>
        <v>0.568648746255236</v>
      </c>
      <c r="CO54" s="192"/>
      <c r="CP54" s="192"/>
      <c r="CS54" s="215">
        <f>SUM(CL44,CK45,CM45,CN46,CO47,CP48,CL46,CM47,CN48,CO49,CM49,CL48,CK47,CK49,CN44,CO45,CP46,CP44)</f>
        <v>0.47218619763503966</v>
      </c>
      <c r="CT54" s="215">
        <f>SUM(CK44,CL45,CM46,CN47,CO48,CP49,CM44,CN45,CO46,CP47,CO44,CP45,CK46,CL47,CM48,CN49,CL49,CK48)</f>
        <v>0.47219623821437345</v>
      </c>
      <c r="CU54" s="192"/>
      <c r="DA54" s="201">
        <v>2.0</v>
      </c>
      <c r="DB54" s="202" t="s">
        <v>81</v>
      </c>
      <c r="DC54" s="203">
        <v>3.0</v>
      </c>
      <c r="DD54" t="e">
        <f t="shared" si="251"/>
        <v>#N/A</v>
      </c>
      <c r="DE54" t="e">
        <f t="shared" si="252"/>
        <v>#N/A</v>
      </c>
      <c r="DF54" t="e">
        <f t="shared" si="323"/>
        <v>#N/A</v>
      </c>
      <c r="DL54" s="192" t="s">
        <v>94</v>
      </c>
      <c r="DM54" s="192" t="e">
        <f>AVERAGE(DM52,DN52)</f>
        <v>#N/A</v>
      </c>
      <c r="DN54" s="192"/>
      <c r="DO54" s="192"/>
      <c r="DR54" s="215" t="e">
        <f>SUM(DK44,DJ45,DL45,DM46,DN47,DO48,DK46,DL47,DM48,DN49,DL49,DK48,DJ47,DJ49,DM44,DN45,DO46,DO44)</f>
        <v>#N/A</v>
      </c>
      <c r="DS54" s="215" t="e">
        <f>SUM(DJ44,DK45,DL46,DM47,DN48,DO49,DL44,DM45,DN46,DO47,DN44,DO45,DJ46,DK47,DL48,DM49,DK49,DJ48)</f>
        <v>#N/A</v>
      </c>
      <c r="DT54" s="192"/>
    </row>
    <row r="55" spans="8:8" ht="15.75" customHeight="1">
      <c r="D55" t="str">
        <f>IF(OR(C57&gt;D56,C57=D56),"yes","no")</f>
        <v>yes</v>
      </c>
      <c r="E55" s="201">
        <v>1.0</v>
      </c>
      <c r="F55" s="202" t="s">
        <v>81</v>
      </c>
      <c r="G55" s="203">
        <v>4.0</v>
      </c>
      <c r="H55">
        <f t="shared" si="239"/>
        <v>0.028467473868158608</v>
      </c>
      <c r="I55">
        <f t="shared" si="240"/>
        <v>13.0</v>
      </c>
      <c r="J55">
        <f t="shared" si="313"/>
        <v>3.0</v>
      </c>
      <c r="L55">
        <f t="shared" si="327" ref="L55:M55">(L21/$K$35)*100</f>
        <v>12.892468455662481</v>
      </c>
      <c r="M55">
        <f t="shared" si="327"/>
        <v>14.271680391969765</v>
      </c>
      <c r="N55">
        <f t="shared" si="315"/>
        <v>-1.3792119363072999</v>
      </c>
      <c r="O55">
        <f t="shared" si="316"/>
        <v>1.3792119363072999</v>
      </c>
      <c r="V55" s="218" t="s">
        <v>87</v>
      </c>
      <c r="W55" s="218" t="str">
        <f>IF(W54&gt;0.525,"EVEN",IF(V54&gt;0.53,"ODD","RUN"))</f>
        <v>RUN</v>
      </c>
      <c r="X55" s="217"/>
      <c r="AC55" t="str">
        <f>IF(OR(AB57&gt;AC56,AB57=AC56),"yes","no")</f>
        <v>no</v>
      </c>
      <c r="AD55" s="201">
        <v>1.0</v>
      </c>
      <c r="AE55" s="202" t="s">
        <v>81</v>
      </c>
      <c r="AF55" s="203">
        <v>4.0</v>
      </c>
      <c r="AG55">
        <f t="shared" si="242"/>
        <v>0.0028148890563945883</v>
      </c>
      <c r="AH55">
        <f t="shared" si="243"/>
        <v>20.0</v>
      </c>
      <c r="AI55">
        <f t="shared" si="317"/>
        <v>1.0</v>
      </c>
      <c r="AK55">
        <f t="shared" si="328" ref="AK55:AL55">(AK21/$AJ$35)*100</f>
        <v>5.372405421773803</v>
      </c>
      <c r="AL55">
        <f t="shared" si="328"/>
        <v>16.765888895162497</v>
      </c>
      <c r="AM55">
        <f t="shared" si="319"/>
        <v>-11.3934834733887</v>
      </c>
      <c r="AU55" s="218" t="s">
        <v>87</v>
      </c>
      <c r="AV55" s="218" t="str">
        <f>IF(AV54&gt;0.525,"EVEN",IF(AU54&gt;0.53,"ODD","RUN"))</f>
        <v>RUN</v>
      </c>
      <c r="AW55" s="217"/>
      <c r="BB55" t="str">
        <f>IF(OR(BA57&gt;BB56,BA57=BB56),"yes","no")</f>
        <v>no</v>
      </c>
      <c r="BC55" s="201">
        <v>1.0</v>
      </c>
      <c r="BD55" s="202" t="s">
        <v>81</v>
      </c>
      <c r="BE55" s="203">
        <v>4.0</v>
      </c>
      <c r="BF55">
        <f t="shared" si="245"/>
        <v>0.0028148890563945883</v>
      </c>
      <c r="BG55">
        <f t="shared" si="246"/>
        <v>20.0</v>
      </c>
      <c r="BH55">
        <f t="shared" si="320"/>
        <v>1.0</v>
      </c>
      <c r="BJ55">
        <f t="shared" si="310"/>
        <v>-0.013226345091417499</v>
      </c>
      <c r="BK55">
        <f t="shared" si="311"/>
        <v>-0.004095545015950903</v>
      </c>
      <c r="BL55">
        <f t="shared" si="329" ref="BL55:BM55">BJ55*BJ55</f>
        <v>1.7493620447726378E-4</v>
      </c>
      <c r="BM55">
        <f t="shared" si="329"/>
        <v>1.677348897768028E-5</v>
      </c>
      <c r="BT55" s="218" t="s">
        <v>87</v>
      </c>
      <c r="BU55" s="218" t="str">
        <f>IF(BU54&gt;0.525,"EVEN",IF(BT54&gt;0.53,"ODD","RUN"))</f>
        <v>RUN</v>
      </c>
      <c r="BV55" s="217"/>
      <c r="CA55" t="str">
        <f>IF(OR(BZ57&gt;CA56,BZ57=CA56),"yes","no")</f>
        <v>yes</v>
      </c>
      <c r="CB55" s="201">
        <v>1.0</v>
      </c>
      <c r="CC55" s="202" t="s">
        <v>81</v>
      </c>
      <c r="CD55" s="203">
        <v>4.0</v>
      </c>
      <c r="CE55">
        <f t="shared" si="248"/>
        <v>0.028467473868158608</v>
      </c>
      <c r="CF55">
        <f t="shared" si="249"/>
        <v>13.0</v>
      </c>
      <c r="CG55">
        <f t="shared" si="322"/>
        <v>3.0</v>
      </c>
      <c r="CS55" s="218" t="s">
        <v>87</v>
      </c>
      <c r="CT55" s="218" t="str">
        <f>IF(CT54&gt;0.525,"EVEN",IF(CS54&gt;0.53,"ODD","RUN"))</f>
        <v>RUN</v>
      </c>
      <c r="CU55" s="217"/>
      <c r="CZ55" t="str">
        <f>IF(OR(CY57&gt;CZ56,CY57=CZ56),"yes","no")</f>
        <v>yes</v>
      </c>
      <c r="DA55" s="201">
        <v>1.0</v>
      </c>
      <c r="DB55" s="202" t="s">
        <v>81</v>
      </c>
      <c r="DC55" s="203">
        <v>4.0</v>
      </c>
      <c r="DD55" t="e">
        <f t="shared" si="251"/>
        <v>#N/A</v>
      </c>
      <c r="DE55" t="e">
        <f t="shared" si="252"/>
        <v>#N/A</v>
      </c>
      <c r="DF55" t="e">
        <f t="shared" si="323"/>
        <v>#N/A</v>
      </c>
      <c r="DR55" s="218" t="s">
        <v>87</v>
      </c>
      <c r="DS55" s="218" t="e">
        <f>IF(DS54&gt;0.525,"EVEN",IF(DR54&gt;0.53,"ODD","RUN"))</f>
        <v>#N/A</v>
      </c>
      <c r="DT55" s="217"/>
    </row>
    <row r="56" spans="8:8" ht="15.75" customHeight="1">
      <c r="D56">
        <f>MAX(C58:C60)</f>
        <v>2.0</v>
      </c>
      <c r="E56" s="201">
        <v>2.0</v>
      </c>
      <c r="F56" s="202" t="s">
        <v>81</v>
      </c>
      <c r="G56" s="203">
        <v>4.0</v>
      </c>
      <c r="H56">
        <f t="shared" si="239"/>
        <v>0.03157125486869169</v>
      </c>
      <c r="I56">
        <f t="shared" si="240"/>
        <v>10.0</v>
      </c>
      <c r="J56">
        <f t="shared" si="313"/>
        <v>1.0</v>
      </c>
      <c r="L56">
        <f t="shared" si="330" ref="L56:M56">(L22/$K$35)*100</f>
        <v>4.259702681375846</v>
      </c>
      <c r="M56">
        <f t="shared" si="330"/>
        <v>2.8897664600204935</v>
      </c>
      <c r="N56">
        <f t="shared" si="315"/>
        <v>1.3699362213553599</v>
      </c>
      <c r="O56">
        <f t="shared" si="316"/>
        <v>-1.3699362213553599</v>
      </c>
      <c r="AC56">
        <f>MAX(AB58:AB60)</f>
        <v>3.0</v>
      </c>
      <c r="AD56" s="201">
        <v>2.0</v>
      </c>
      <c r="AE56" s="202" t="s">
        <v>81</v>
      </c>
      <c r="AF56" s="203">
        <v>4.0</v>
      </c>
      <c r="AG56">
        <f t="shared" si="242"/>
        <v>0.0018343247585702544</v>
      </c>
      <c r="AH56">
        <f t="shared" si="243"/>
        <v>22.0</v>
      </c>
      <c r="AI56">
        <f t="shared" si="317"/>
        <v>3.0</v>
      </c>
      <c r="AK56">
        <f t="shared" si="331" ref="AK56:AL56">(AK22/$AJ$35)*100</f>
        <v>3.0209250939912446</v>
      </c>
      <c r="AL56">
        <f t="shared" si="331"/>
        <v>5.699983576241966</v>
      </c>
      <c r="AM56">
        <f t="shared" si="319"/>
        <v>-2.67905848225073</v>
      </c>
      <c r="BB56">
        <f>MAX(BA58:BA60)</f>
        <v>3.0</v>
      </c>
      <c r="BC56" s="201">
        <v>2.0</v>
      </c>
      <c r="BD56" s="202" t="s">
        <v>81</v>
      </c>
      <c r="BE56" s="203">
        <v>4.0</v>
      </c>
      <c r="BF56">
        <f t="shared" si="245"/>
        <v>0.0018343247585702544</v>
      </c>
      <c r="BG56">
        <f t="shared" si="246"/>
        <v>22.0</v>
      </c>
      <c r="BH56">
        <f t="shared" si="320"/>
        <v>3.0</v>
      </c>
      <c r="BJ56">
        <f t="shared" si="310"/>
        <v>-0.01946789476455376</v>
      </c>
      <c r="BK56">
        <f t="shared" si="311"/>
        <v>0.0226454242564458</v>
      </c>
      <c r="BL56">
        <f t="shared" si="332" ref="BL56:BM56">BJ56*BJ56</f>
        <v>3.789989265637397E-4</v>
      </c>
      <c r="BM56">
        <f t="shared" si="332"/>
        <v>5.128152397544238E-4</v>
      </c>
      <c r="CA56">
        <f>MAX(BZ58:BZ60)</f>
        <v>2.0</v>
      </c>
      <c r="CB56" s="201">
        <v>2.0</v>
      </c>
      <c r="CC56" s="202" t="s">
        <v>81</v>
      </c>
      <c r="CD56" s="203">
        <v>4.0</v>
      </c>
      <c r="CE56">
        <f t="shared" si="248"/>
        <v>0.03157125486869169</v>
      </c>
      <c r="CF56">
        <f t="shared" si="249"/>
        <v>10.0</v>
      </c>
      <c r="CG56">
        <f t="shared" si="322"/>
        <v>1.0</v>
      </c>
      <c r="CZ56">
        <f>MAX(CY58:CY60)</f>
        <v>0.0</v>
      </c>
      <c r="DA56" s="201">
        <v>2.0</v>
      </c>
      <c r="DB56" s="202" t="s">
        <v>81</v>
      </c>
      <c r="DC56" s="203">
        <v>4.0</v>
      </c>
      <c r="DD56" t="e">
        <f t="shared" si="251"/>
        <v>#N/A</v>
      </c>
      <c r="DE56" t="e">
        <f t="shared" si="252"/>
        <v>#N/A</v>
      </c>
      <c r="DF56" t="e">
        <f t="shared" si="323"/>
        <v>#N/A</v>
      </c>
    </row>
    <row r="57" spans="8:8" ht="15.75" customHeight="1">
      <c r="C57">
        <f>COUNTIF(D57:D66,"rountime")</f>
        <v>4.0</v>
      </c>
      <c r="D57" t="str">
        <f>IF(I43=1,"draw",IF(I44=1,"away",IF(I45=1,"draw",IF(I46=1,"home",IF(I47=1,"away",IF(I48=1,"away",IF(I49=1,"home",IF(I50=1,"away",IF(I51=1,"draw",IF(I52=1,"home","rountime"))))))))))</f>
        <v>draw</v>
      </c>
      <c r="E57" s="201">
        <v>3.0</v>
      </c>
      <c r="F57" s="202" t="s">
        <v>81</v>
      </c>
      <c r="G57" s="203">
        <v>3.0</v>
      </c>
      <c r="H57">
        <f t="shared" si="239"/>
        <v>0.040383753179784584</v>
      </c>
      <c r="I57">
        <f t="shared" si="240"/>
        <v>9.0</v>
      </c>
      <c r="J57">
        <f>SUM(J53:J56)</f>
        <v>7.0</v>
      </c>
      <c r="L57">
        <f t="shared" si="333" ref="L57:M57">(L23/$K$35)*100</f>
        <v>1.125932834111446</v>
      </c>
      <c r="M57">
        <f t="shared" si="333"/>
        <v>3.8191432402978926</v>
      </c>
      <c r="N57">
        <f t="shared" si="315"/>
        <v>-2.6932104061864397</v>
      </c>
      <c r="O57">
        <f t="shared" si="316"/>
        <v>2.6932104061864397</v>
      </c>
      <c r="AB57">
        <f>COUNTIF(AC57:AC66,"rountime")</f>
        <v>1.0</v>
      </c>
      <c r="AC57" t="str">
        <f>IF(AH43=1,"draw",IF(AH44=1,"away",IF(AH45=1,"draw",IF(AH46=1,"home",IF(AH47=1,"away",IF(AH48=1,"away",IF(AH49=1,"home",IF(AH50=1,"away",IF(AH51=1,"draw",IF(AH52=1,"home","rountime"))))))))))</f>
        <v>home</v>
      </c>
      <c r="AD57" s="201">
        <v>3.0</v>
      </c>
      <c r="AE57" s="202" t="s">
        <v>81</v>
      </c>
      <c r="AF57" s="203">
        <v>3.0</v>
      </c>
      <c r="AG57">
        <f t="shared" si="242"/>
        <v>0.003939584755487759</v>
      </c>
      <c r="AH57">
        <f t="shared" si="243"/>
        <v>18.0</v>
      </c>
      <c r="AI57">
        <f>SUM(AI53:AI56)</f>
        <v>8.0</v>
      </c>
      <c r="AK57">
        <f t="shared" si="334" ref="AK57:AL57">(AK23/$AJ$35)*100</f>
        <v>1.3589426273034897</v>
      </c>
      <c r="AL57">
        <f t="shared" si="334"/>
        <v>12.82049441095385</v>
      </c>
      <c r="AM57">
        <f t="shared" si="319"/>
        <v>-11.46155178365041</v>
      </c>
      <c r="BA57">
        <f>COUNTIF(BB57:BB66,"rountime")</f>
        <v>1.0</v>
      </c>
      <c r="BB57" t="str">
        <f>IF(BG43=1,"draw",IF(BG44=1,"away",IF(BG45=1,"draw",IF(BG46=1,"home",IF(BG47=1,"away",IF(BG48=1,"away",IF(BG49=1,"home",IF(BG50=1,"away",IF(BG51=1,"draw",IF(BG52=1,"home","rountime"))))))))))</f>
        <v>home</v>
      </c>
      <c r="BC57" s="201">
        <v>3.0</v>
      </c>
      <c r="BD57" s="202" t="s">
        <v>81</v>
      </c>
      <c r="BE57" s="203">
        <v>3.0</v>
      </c>
      <c r="BF57">
        <f t="shared" si="245"/>
        <v>0.003939584755487759</v>
      </c>
      <c r="BG57">
        <f t="shared" si="246"/>
        <v>18.0</v>
      </c>
      <c r="BH57">
        <f>SUM(BH53:BH56)</f>
        <v>8.0</v>
      </c>
      <c r="BJ57">
        <f t="shared" si="310"/>
        <v>0.0371626005985354</v>
      </c>
      <c r="BK57">
        <f t="shared" si="311"/>
        <v>0.028644947481252597</v>
      </c>
      <c r="BL57">
        <f t="shared" si="335" ref="BL57:BM57">BJ57*BJ57</f>
        <v>0.0013810588832462636</v>
      </c>
      <c r="BM57">
        <f t="shared" si="335"/>
        <v>8.205330162037195E-4</v>
      </c>
      <c r="BZ57">
        <f>COUNTIF(CA57:CA66,"rountime")</f>
        <v>4.0</v>
      </c>
      <c r="CA57" t="str">
        <f>IF(CF43=1,"draw",IF(CF44=1,"away",IF(CF45=1,"draw",IF(CF46=1,"home",IF(CF47=1,"away",IF(CF48=1,"away",IF(CF49=1,"home",IF(CF50=1,"away",IF(CF51=1,"draw",IF(CF52=1,"home","rountime"))))))))))</f>
        <v>draw</v>
      </c>
      <c r="CB57" s="201">
        <v>3.0</v>
      </c>
      <c r="CC57" s="202" t="s">
        <v>81</v>
      </c>
      <c r="CD57" s="203">
        <v>3.0</v>
      </c>
      <c r="CE57">
        <f t="shared" si="248"/>
        <v>0.040383753179784584</v>
      </c>
      <c r="CF57">
        <f t="shared" si="249"/>
        <v>9.0</v>
      </c>
      <c r="CG57">
        <f>SUM(CG53:CG56)</f>
        <v>7.0</v>
      </c>
      <c r="CY57">
        <f>COUNTIF(CZ57:CZ66,"rountime")</f>
        <v>0.0</v>
      </c>
      <c r="CZ57" t="e">
        <f>IF(DE43=1,"draw",IF(DE44=1,"away",IF(DE45=1,"draw",IF(DE46=1,"home",IF(DE47=1,"away",IF(DE48=1,"away",IF(DE49=1,"home",IF(DE50=1,"away",IF(DE51=1,"draw",IF(DE52=1,"home","rountime"))))))))))</f>
        <v>#N/A</v>
      </c>
      <c r="DA57" s="201">
        <v>3.0</v>
      </c>
      <c r="DB57" s="202" t="s">
        <v>81</v>
      </c>
      <c r="DC57" s="203">
        <v>3.0</v>
      </c>
      <c r="DD57" t="e">
        <f t="shared" si="251"/>
        <v>#N/A</v>
      </c>
      <c r="DE57" t="e">
        <f t="shared" si="252"/>
        <v>#N/A</v>
      </c>
      <c r="DF57" t="e">
        <f>SUM(DF53:DF56)</f>
        <v>#N/A</v>
      </c>
    </row>
    <row r="58" spans="8:8" ht="15.75" customHeight="1">
      <c r="C58">
        <f>COUNTIF(D57:D66,"home")</f>
        <v>2.0</v>
      </c>
      <c r="D58" t="str">
        <f>IF(I43=2,"draw",IF(I44=2,"away",IF(I45=2,"draw",IF(I46=2,"home",IF(I47=2,"away",IF(I48=2,"away",IF(I49=2,"home",IF(I50=2,"away",IF(I51=2,"draw",IF(I52=2,"home","rountime"))))))))))</f>
        <v>away</v>
      </c>
      <c r="E58" s="201">
        <v>4.0</v>
      </c>
      <c r="F58" s="202" t="s">
        <v>81</v>
      </c>
      <c r="G58" s="203">
        <v>1.0</v>
      </c>
      <c r="H58">
        <f t="shared" si="239"/>
        <v>0.025134903652744022</v>
      </c>
      <c r="I58">
        <f t="shared" si="240"/>
        <v>14.0</v>
      </c>
      <c r="L58">
        <f t="shared" si="336" ref="L58:M58">(L24/$K$35)*100</f>
        <v>23.494500798874206</v>
      </c>
      <c r="M58">
        <f t="shared" si="336"/>
        <v>2.5237082808777647</v>
      </c>
      <c r="N58">
        <f t="shared" si="315"/>
        <v>20.97079251799644</v>
      </c>
      <c r="O58">
        <f t="shared" si="316"/>
        <v>-20.97079251799644</v>
      </c>
      <c r="AB58">
        <f>COUNTIF(AC57:AC66,"home")</f>
        <v>3.0</v>
      </c>
      <c r="AC58" t="str">
        <f>IF(AH43=2,"draw",IF(AH44=2,"away",IF(AH45=2,"draw",IF(AH46=2,"home",IF(AH47=2,"away",IF(AH48=2,"away",IF(AH49=2,"home",IF(AH50=2,"away",IF(AH51=2,"draw",IF(AH52=2,"home","rountime"))))))))))</f>
        <v>draw</v>
      </c>
      <c r="AD58" s="201">
        <v>4.0</v>
      </c>
      <c r="AE58" s="202" t="s">
        <v>81</v>
      </c>
      <c r="AF58" s="203">
        <v>1.0</v>
      </c>
      <c r="AG58">
        <f t="shared" si="242"/>
        <v>0.011764344502174997</v>
      </c>
      <c r="AH58">
        <f t="shared" si="243"/>
        <v>14.0</v>
      </c>
      <c r="AK58">
        <f t="shared" si="337" ref="AK58:AL58">(AK24/$AJ$35)*100</f>
        <v>16.4383532388036</v>
      </c>
      <c r="AL58">
        <f t="shared" si="337"/>
        <v>14.418030748929445</v>
      </c>
      <c r="AM58">
        <f t="shared" si="319"/>
        <v>2.0203224898742</v>
      </c>
      <c r="BA58">
        <f>COUNTIF(BB57:BB66,"home")</f>
        <v>3.0</v>
      </c>
      <c r="BB58" t="str">
        <f>IF(BG43=2,"draw",IF(BG44=2,"away",IF(BG45=2,"draw",IF(BG46=2,"home",IF(BG47=2,"away",IF(BG48=2,"away",IF(BG49=2,"home",IF(BG50=2,"away",IF(BG51=2,"draw",IF(BG52=2,"home","rountime"))))))))))</f>
        <v>draw</v>
      </c>
      <c r="BC58" s="201">
        <v>4.0</v>
      </c>
      <c r="BD58" s="202" t="s">
        <v>81</v>
      </c>
      <c r="BE58" s="203">
        <v>1.0</v>
      </c>
      <c r="BF58">
        <f t="shared" si="245"/>
        <v>0.011764344502174997</v>
      </c>
      <c r="BG58">
        <f t="shared" si="246"/>
        <v>14.0</v>
      </c>
      <c r="BJ58">
        <f t="shared" si="310"/>
        <v>0.0217129721065328</v>
      </c>
      <c r="BK58">
        <f t="shared" si="311"/>
        <v>-0.0132251192301984</v>
      </c>
      <c r="BL58">
        <f t="shared" si="338" ref="BL58:BM58">BJ58*BJ58</f>
        <v>4.7145315769907145E-4</v>
      </c>
      <c r="BM58">
        <f t="shared" si="338"/>
        <v>1.7490377865296355E-4</v>
      </c>
      <c r="BZ58">
        <f>COUNTIF(CA57:CA66,"home")</f>
        <v>2.0</v>
      </c>
      <c r="CA58" t="str">
        <f>IF(CF43=2,"draw",IF(CF44=2,"away",IF(CF45=2,"draw",IF(CF46=2,"home",IF(CF47=2,"away",IF(CF48=2,"away",IF(CF49=2,"home",IF(CF50=2,"away",IF(CF51=2,"draw",IF(CF52=2,"home","rountime"))))))))))</f>
        <v>away</v>
      </c>
      <c r="CB58" s="201">
        <v>4.0</v>
      </c>
      <c r="CC58" s="202" t="s">
        <v>81</v>
      </c>
      <c r="CD58" s="203">
        <v>1.0</v>
      </c>
      <c r="CE58">
        <f t="shared" si="248"/>
        <v>0.025134903652744022</v>
      </c>
      <c r="CF58">
        <f t="shared" si="249"/>
        <v>14.0</v>
      </c>
      <c r="CY58">
        <f>COUNTIF(CZ57:CZ66,"home")</f>
        <v>0.0</v>
      </c>
      <c r="CZ58" t="e">
        <f>IF(DE43=2,"draw",IF(DE44=2,"away",IF(DE45=2,"draw",IF(DE46=2,"home",IF(DE47=2,"away",IF(DE48=2,"away",IF(DE49=2,"home",IF(DE50=2,"away",IF(DE51=2,"draw",IF(DE52=2,"home","rountime"))))))))))</f>
        <v>#N/A</v>
      </c>
      <c r="DA58" s="201">
        <v>4.0</v>
      </c>
      <c r="DB58" s="202" t="s">
        <v>81</v>
      </c>
      <c r="DC58" s="203">
        <v>1.0</v>
      </c>
      <c r="DD58" t="e">
        <f t="shared" si="251"/>
        <v>#N/A</v>
      </c>
      <c r="DE58" t="e">
        <f t="shared" si="252"/>
        <v>#N/A</v>
      </c>
    </row>
    <row r="59" spans="8:8" ht="15.75" customHeight="1">
      <c r="C59">
        <f>COUNTIF(D57:D66,"draw")</f>
        <v>2.0</v>
      </c>
      <c r="D59" t="str">
        <f>IF(I43=3,"draw",IF(I44=3,"away",IF(I45=3,"draw",IF(I46=3,"home",IF(I47=3,"away",IF(I48=3,"away",IF(I49=3,"home",IF(I50=3,"away",IF(I51=3,"draw",IF(I52=3,"home","rountime"))))))))))</f>
        <v>home</v>
      </c>
      <c r="E59" s="201">
        <v>4.0</v>
      </c>
      <c r="F59" s="202" t="s">
        <v>81</v>
      </c>
      <c r="G59" s="203">
        <v>0.0</v>
      </c>
      <c r="H59">
        <f t="shared" si="239"/>
        <v>0.010871273294159623</v>
      </c>
      <c r="I59">
        <f t="shared" si="240"/>
        <v>25.0</v>
      </c>
      <c r="J59">
        <f>COUNTIF(J53:J56,MIN(1))</f>
        <v>1.0</v>
      </c>
      <c r="L59">
        <f t="shared" si="339" ref="L59:M59">(L25/$K$35)*100</f>
        <v>10.350186327232079</v>
      </c>
      <c r="M59">
        <f t="shared" si="339"/>
        <v>0.5799824410324893</v>
      </c>
      <c r="N59">
        <f t="shared" si="315"/>
        <v>9.77020388619961</v>
      </c>
      <c r="O59">
        <f t="shared" si="316"/>
        <v>-9.77020388619961</v>
      </c>
      <c r="AB59">
        <f>COUNTIF(AC57:AC66,"draw")</f>
        <v>3.0</v>
      </c>
      <c r="AC59" t="str">
        <f>IF(AH43=3,"draw",IF(AH44=3,"away",IF(AH45=3,"draw",IF(AH46=3,"home",IF(AH47=3,"away",IF(AH48=3,"away",IF(AH49=3,"home",IF(AH50=3,"away",IF(AH51=3,"draw",IF(AH52=3,"home","rountime"))))))))))</f>
        <v>draw</v>
      </c>
      <c r="AD59" s="201">
        <v>4.0</v>
      </c>
      <c r="AE59" s="202" t="s">
        <v>81</v>
      </c>
      <c r="AF59" s="203">
        <v>0.0</v>
      </c>
      <c r="AG59">
        <f t="shared" si="242"/>
        <v>0.014539794768735783</v>
      </c>
      <c r="AH59">
        <f t="shared" si="243"/>
        <v>12.0</v>
      </c>
      <c r="AI59">
        <f>COUNTIF(AI53:AI56,MIN(1))</f>
        <v>2.0</v>
      </c>
      <c r="AK59">
        <f t="shared" si="340" ref="AK59:AL59">(AK25/$AJ$35)*100</f>
        <v>12.324469185126672</v>
      </c>
      <c r="AL59">
        <f t="shared" si="340"/>
        <v>3.268985976766066</v>
      </c>
      <c r="AM59">
        <f t="shared" si="319"/>
        <v>9.05548320836063</v>
      </c>
      <c r="BA59">
        <f>COUNTIF(BB57:BB66,"draw")</f>
        <v>3.0</v>
      </c>
      <c r="BB59" t="str">
        <f>IF(BG43=3,"draw",IF(BG44=3,"away",IF(BG45=3,"draw",IF(BG46=3,"home",IF(BG47=3,"away",IF(BG48=3,"away",IF(BG49=3,"home",IF(BG50=3,"away",IF(BG51=3,"draw",IF(BG52=3,"home","rountime"))))))))))</f>
        <v>draw</v>
      </c>
      <c r="BC59" s="201">
        <v>4.0</v>
      </c>
      <c r="BD59" s="202" t="s">
        <v>81</v>
      </c>
      <c r="BE59" s="203">
        <v>0.0</v>
      </c>
      <c r="BF59">
        <f t="shared" si="245"/>
        <v>0.014539794768735783</v>
      </c>
      <c r="BG59">
        <f t="shared" si="246"/>
        <v>12.0</v>
      </c>
      <c r="BH59">
        <f>COUNTIF(BH53:BH56,MIN(1))</f>
        <v>2.0</v>
      </c>
      <c r="BJ59">
        <f t="shared" si="310"/>
        <v>0.0014544953359247013</v>
      </c>
      <c r="BK59">
        <f t="shared" si="311"/>
        <v>0.0021110396178645983</v>
      </c>
      <c r="BL59">
        <f t="shared" si="341" ref="BL59:BM59">BJ59*BJ59</f>
        <v>2.11555668222671E-6</v>
      </c>
      <c r="BM59">
        <f t="shared" si="341"/>
        <v>4.456488268193909E-6</v>
      </c>
      <c r="BZ59">
        <f>COUNTIF(CA57:CA66,"draw")</f>
        <v>2.0</v>
      </c>
      <c r="CA59" t="str">
        <f>IF(CF43=3,"draw",IF(CF44=3,"away",IF(CF45=3,"draw",IF(CF46=3,"home",IF(CF47=3,"away",IF(CF48=3,"away",IF(CF49=3,"home",IF(CF50=3,"away",IF(CF51=3,"draw",IF(CF52=3,"home","rountime"))))))))))</f>
        <v>home</v>
      </c>
      <c r="CB59" s="201">
        <v>4.0</v>
      </c>
      <c r="CC59" s="202" t="s">
        <v>81</v>
      </c>
      <c r="CD59" s="203">
        <v>0.0</v>
      </c>
      <c r="CE59">
        <f t="shared" si="248"/>
        <v>0.010871273294159623</v>
      </c>
      <c r="CF59">
        <f t="shared" si="249"/>
        <v>25.0</v>
      </c>
      <c r="CG59">
        <f>COUNTIF(CG53:CG56,MIN(1))</f>
        <v>1.0</v>
      </c>
      <c r="CY59">
        <f>COUNTIF(CZ57:CZ66,"draw")</f>
        <v>0.0</v>
      </c>
      <c r="CZ59" t="e">
        <f>IF(DE43=3,"draw",IF(DE44=3,"away",IF(DE45=3,"draw",IF(DE46=3,"home",IF(DE47=3,"away",IF(DE48=3,"away",IF(DE49=3,"home",IF(DE50=3,"away",IF(DE51=3,"draw",IF(DE52=3,"home","rountime"))))))))))</f>
        <v>#N/A</v>
      </c>
      <c r="DA59" s="201">
        <v>4.0</v>
      </c>
      <c r="DB59" s="202" t="s">
        <v>81</v>
      </c>
      <c r="DC59" s="203">
        <v>0.0</v>
      </c>
      <c r="DD59" t="e">
        <f t="shared" si="251"/>
        <v>#N/A</v>
      </c>
      <c r="DE59" t="e">
        <f t="shared" si="252"/>
        <v>#N/A</v>
      </c>
      <c r="DF59">
        <f>COUNTIF(DF53:DF56,MIN(1))</f>
        <v>0.0</v>
      </c>
    </row>
    <row r="60" spans="8:8" ht="15.75" customHeight="1">
      <c r="C60">
        <f>COUNTIF(D57:D66,"away")</f>
        <v>2.0</v>
      </c>
      <c r="D60" t="str">
        <f>IF(I43=4,"draw",IF(I44=4,"away",IF(I45=4,"draw",IF(I46=4,"home",IF(I47=4,"away",IF(I48=4,"away",IF(I49=4,"home",IF(I50=4,"away",IF(I51=4,"draw",IF(I52=4,"home","rountime"))))))))))</f>
        <v>draw</v>
      </c>
      <c r="E60" s="201">
        <v>4.0</v>
      </c>
      <c r="F60" s="202" t="s">
        <v>81</v>
      </c>
      <c r="G60" s="203">
        <v>2.0</v>
      </c>
      <c r="H60">
        <f t="shared" si="239"/>
        <v>0.029056549519922703</v>
      </c>
      <c r="I60">
        <f t="shared" si="240"/>
        <v>11.0</v>
      </c>
      <c r="J60">
        <f>COUNTIF(J48:J51,3)</f>
        <v>1.0</v>
      </c>
      <c r="L60">
        <f t="shared" si="342" ref="L60:M60">(L26/$K$35)*100</f>
        <v>3.419726532779374</v>
      </c>
      <c r="M60">
        <f t="shared" si="342"/>
        <v>0.7665103909971308</v>
      </c>
      <c r="N60">
        <f t="shared" si="315"/>
        <v>2.6532161417822393</v>
      </c>
      <c r="O60">
        <f t="shared" si="316"/>
        <v>-2.6532161417822393</v>
      </c>
      <c r="AB60">
        <f>COUNTIF(AC57:AC66,"away")</f>
        <v>3.0</v>
      </c>
      <c r="AC60" t="str">
        <f>IF(AH43=4,"draw",IF(AH44=4,"away",IF(AH45=4,"draw",IF(AH46=4,"home",IF(AH47=4,"away",IF(AH48=4,"away",IF(AH49=4,"home",IF(AH50=4,"away",IF(AH51=4,"draw",IF(AH52=4,"home","rountime"))))))))))</f>
        <v>away</v>
      </c>
      <c r="AD60" s="201">
        <v>4.0</v>
      </c>
      <c r="AE60" s="202" t="s">
        <v>81</v>
      </c>
      <c r="AF60" s="203">
        <v>2.0</v>
      </c>
      <c r="AG60">
        <f t="shared" si="242"/>
        <v>0.004759345085924097</v>
      </c>
      <c r="AH60">
        <f t="shared" si="243"/>
        <v>17.0</v>
      </c>
      <c r="AI60">
        <f>COUNTIF(AI48:AI51,3)</f>
        <v>1.0</v>
      </c>
      <c r="AK60">
        <f t="shared" si="343" ref="AK60:AL60">(AK26/$AJ$35)*100</f>
        <v>6.93009840258451</v>
      </c>
      <c r="AL60">
        <f t="shared" si="343"/>
        <v>7.3526556496233635</v>
      </c>
      <c r="AM60">
        <f t="shared" si="319"/>
        <v>-0.4225572470388501</v>
      </c>
      <c r="BA60">
        <f>COUNTIF(BB57:BB66,"away")</f>
        <v>3.0</v>
      </c>
      <c r="BB60" t="str">
        <f>IF(BG43=4,"draw",IF(BG44=4,"away",IF(BG45=4,"draw",IF(BG46=4,"home",IF(BG47=4,"away",IF(BG48=4,"away",IF(BG49=4,"home",IF(BG50=4,"away",IF(BG51=4,"draw",IF(BG52=4,"home","rountime"))))))))))</f>
        <v>away</v>
      </c>
      <c r="BC60" s="201">
        <v>4.0</v>
      </c>
      <c r="BD60" s="202" t="s">
        <v>81</v>
      </c>
      <c r="BE60" s="203">
        <v>2.0</v>
      </c>
      <c r="BF60">
        <f t="shared" si="245"/>
        <v>0.004759345085924097</v>
      </c>
      <c r="BG60">
        <f t="shared" si="246"/>
        <v>17.0</v>
      </c>
      <c r="BH60">
        <f>COUNTIF(BH48:BH51,3)</f>
        <v>1.0</v>
      </c>
      <c r="BJ60">
        <f t="shared" si="310"/>
        <v>-0.012863818449971198</v>
      </c>
      <c r="BK60">
        <f t="shared" si="311"/>
        <v>0.0055518139686753995</v>
      </c>
      <c r="BL60">
        <f t="shared" si="344" ref="BL60:BM60">BJ60*BJ60</f>
        <v>1.654778251138194E-4</v>
      </c>
      <c r="BM60">
        <f t="shared" si="344"/>
        <v>3.082263834277929E-5</v>
      </c>
      <c r="BZ60">
        <f>COUNTIF(CA57:CA66,"away")</f>
        <v>2.0</v>
      </c>
      <c r="CA60" t="str">
        <f>IF(CF43=4,"draw",IF(CF44=4,"away",IF(CF45=4,"draw",IF(CF46=4,"home",IF(CF47=4,"away",IF(CF48=4,"away",IF(CF49=4,"home",IF(CF50=4,"away",IF(CF51=4,"draw",IF(CF52=4,"home","rountime"))))))))))</f>
        <v>draw</v>
      </c>
      <c r="CB60" s="201">
        <v>4.0</v>
      </c>
      <c r="CC60" s="202" t="s">
        <v>81</v>
      </c>
      <c r="CD60" s="203">
        <v>2.0</v>
      </c>
      <c r="CE60">
        <f t="shared" si="248"/>
        <v>0.029056549519922703</v>
      </c>
      <c r="CF60">
        <f t="shared" si="249"/>
        <v>11.0</v>
      </c>
      <c r="CG60">
        <f>COUNTIF(CG48:CG51,3)</f>
        <v>1.0</v>
      </c>
      <c r="CY60">
        <f>COUNTIF(CZ57:CZ66,"away")</f>
        <v>0.0</v>
      </c>
      <c r="CZ60" t="e">
        <f>IF(DE43=4,"draw",IF(DE44=4,"away",IF(DE45=4,"draw",IF(DE46=4,"home",IF(DE47=4,"away",IF(DE48=4,"away",IF(DE49=4,"home",IF(DE50=4,"away",IF(DE51=4,"draw",IF(DE52=4,"home","rountime"))))))))))</f>
        <v>#N/A</v>
      </c>
      <c r="DA60" s="201">
        <v>4.0</v>
      </c>
      <c r="DB60" s="202" t="s">
        <v>81</v>
      </c>
      <c r="DC60" s="203">
        <v>2.0</v>
      </c>
      <c r="DD60" t="e">
        <f t="shared" si="251"/>
        <v>#N/A</v>
      </c>
      <c r="DE60" t="e">
        <f t="shared" si="252"/>
        <v>#N/A</v>
      </c>
      <c r="DF60">
        <f>COUNTIF(DF48:DF51,3)</f>
        <v>0.0</v>
      </c>
    </row>
    <row r="61" spans="8:8" ht="15.75" customHeight="1">
      <c r="D61" t="str">
        <f>IF(I43=5,"draw",IF(I44=5,"away",IF(I45=5,"draw",IF(I46=5,"home",IF(I47=5,"away",IF(I48=5,"away",IF(I49=5,"home",IF(I50=5,"away",IF(I51=5,"draw",IF(I52=5,"home","rountime"))))))))))</f>
        <v>rountime</v>
      </c>
      <c r="E61" s="201">
        <v>3.0</v>
      </c>
      <c r="F61" s="202" t="s">
        <v>81</v>
      </c>
      <c r="G61" s="203">
        <v>4.0</v>
      </c>
      <c r="H61">
        <f t="shared" si="239"/>
        <v>0.023342292062866993</v>
      </c>
      <c r="I61">
        <f t="shared" si="240"/>
        <v>17.0</v>
      </c>
      <c r="J61">
        <f>COUNTIF(J48:J51,2)</f>
        <v>1.0</v>
      </c>
      <c r="L61">
        <f t="shared" si="345" ref="L61:M61">(L27/$K$35)*100</f>
        <v>0.9039087173320628</v>
      </c>
      <c r="M61">
        <f t="shared" si="345"/>
        <v>0.5065137648483239</v>
      </c>
      <c r="N61">
        <f t="shared" si="315"/>
        <v>0.397394952483739</v>
      </c>
      <c r="O61">
        <f t="shared" si="316"/>
        <v>-0.397394952483739</v>
      </c>
      <c r="AC61" t="str">
        <f>IF(AH43=5,"draw",IF(AH44=5,"away",IF(AH45=5,"draw",IF(AH46=5,"home",IF(AH47=5,"away",IF(AH48=5,"away",IF(AH49=5,"home",IF(AH50=5,"away",IF(AH51=5,"draw",IF(AH52=5,"home","rountime"))))))))))</f>
        <v>home</v>
      </c>
      <c r="AD61" s="201">
        <v>3.0</v>
      </c>
      <c r="AE61" s="202" t="s">
        <v>81</v>
      </c>
      <c r="AF61" s="203">
        <v>4.0</v>
      </c>
      <c r="AG61">
        <f t="shared" si="242"/>
        <v>7.968928206389096E-4</v>
      </c>
      <c r="AH61">
        <f t="shared" si="243"/>
        <v>25.0</v>
      </c>
      <c r="AI61">
        <f>COUNTIF(AI48:AI51,2)</f>
        <v>1.0</v>
      </c>
      <c r="AK61">
        <f t="shared" si="346" ref="AK61:AL61">(AK27/$AJ$35)*100</f>
        <v>3.117457678580627</v>
      </c>
      <c r="AL61">
        <f t="shared" si="346"/>
        <v>8.268855462546252</v>
      </c>
      <c r="AM61">
        <f t="shared" si="319"/>
        <v>-5.151397783965621</v>
      </c>
      <c r="BB61" t="str">
        <f>IF(BG43=5,"draw",IF(BG44=5,"away",IF(BG45=5,"draw",IF(BG46=5,"home",IF(BG47=5,"away",IF(BG48=5,"away",IF(BG49=5,"home",IF(BG50=5,"away",IF(BG51=5,"draw",IF(BG52=5,"home","rountime"))))))))))</f>
        <v>home</v>
      </c>
      <c r="BC61" s="201">
        <v>3.0</v>
      </c>
      <c r="BD61" s="202" t="s">
        <v>81</v>
      </c>
      <c r="BE61" s="203">
        <v>4.0</v>
      </c>
      <c r="BF61">
        <f t="shared" si="245"/>
        <v>7.968928206389096E-4</v>
      </c>
      <c r="BG61">
        <f t="shared" si="246"/>
        <v>25.0</v>
      </c>
      <c r="BH61">
        <f>COUNTIF(BH48:BH51,2)</f>
        <v>1.0</v>
      </c>
      <c r="BJ61">
        <f t="shared" si="310"/>
        <v>0.028517509537759</v>
      </c>
      <c r="BK61">
        <f t="shared" si="311"/>
        <v>-0.0022196910655907023</v>
      </c>
      <c r="BL61">
        <f t="shared" si="347" ref="BL61:BM61">BJ61*BJ61</f>
        <v>8.132483502361756E-4</v>
      </c>
      <c r="BM61">
        <f t="shared" si="347"/>
        <v>4.927028426663188E-6</v>
      </c>
      <c r="CA61" t="str">
        <f>IF(CF43=5,"draw",IF(CF44=5,"away",IF(CF45=5,"draw",IF(CF46=5,"home",IF(CF47=5,"away",IF(CF48=5,"away",IF(CF49=5,"home",IF(CF50=5,"away",IF(CF51=5,"draw",IF(CF52=5,"home","rountime"))))))))))</f>
        <v>rountime</v>
      </c>
      <c r="CB61" s="201">
        <v>3.0</v>
      </c>
      <c r="CC61" s="202" t="s">
        <v>81</v>
      </c>
      <c r="CD61" s="203">
        <v>4.0</v>
      </c>
      <c r="CE61">
        <f t="shared" si="248"/>
        <v>0.023342292062866993</v>
      </c>
      <c r="CF61">
        <f t="shared" si="249"/>
        <v>17.0</v>
      </c>
      <c r="CG61">
        <f>COUNTIF(CG48:CG51,2)</f>
        <v>1.0</v>
      </c>
      <c r="CZ61" t="e">
        <f>IF(DE43=5,"draw",IF(DE44=5,"away",IF(DE45=5,"draw",IF(DE46=5,"home",IF(DE47=5,"away",IF(DE48=5,"away",IF(DE49=5,"home",IF(DE50=5,"away",IF(DE51=5,"draw",IF(DE52=5,"home","rountime"))))))))))</f>
        <v>#N/A</v>
      </c>
      <c r="DA61" s="201">
        <v>3.0</v>
      </c>
      <c r="DB61" s="202" t="s">
        <v>81</v>
      </c>
      <c r="DC61" s="203">
        <v>4.0</v>
      </c>
      <c r="DD61" t="e">
        <f t="shared" si="251"/>
        <v>#N/A</v>
      </c>
      <c r="DE61" t="e">
        <f t="shared" si="252"/>
        <v>#N/A</v>
      </c>
      <c r="DF61">
        <f>COUNTIF(DF48:DF51,2)</f>
        <v>0.0</v>
      </c>
    </row>
    <row r="62" spans="8:8" ht="15.75" customHeight="1">
      <c r="D62" t="str">
        <f>IF(I43=6,"draw",IF(I44=6,"away",IF(I45=6,"draw",IF(I46=6,"home",IF(I47=6,"away",IF(I48=6,"away",IF(I49=6,"home",IF(I50=6,"away",IF(I51=6,"draw",IF(I52=6,"home","rountime"))))))))))</f>
        <v>rountime</v>
      </c>
      <c r="E62" s="201">
        <v>2.0</v>
      </c>
      <c r="F62" s="202" t="s">
        <v>81</v>
      </c>
      <c r="G62" s="203">
        <v>5.0</v>
      </c>
      <c r="H62">
        <f t="shared" si="239"/>
        <v>0.014598850159476814</v>
      </c>
      <c r="I62">
        <f t="shared" si="240"/>
        <v>21.0</v>
      </c>
      <c r="J62" t="str">
        <f>IF(AND(J65&gt;0,J65=J59,OR(J65=J60,J65=J61)),"overD",IF(AND(J65&gt;J59,J65&gt;J60,J65&gt;J61),"over",IF(AND(J59&gt;1,OR(J59=J60,J59=J61)),"Draw",IF(AND(J59&gt;J60,J60&gt;J61),"x2",IF(AND(J59&gt;J61,J61&gt;J60),"1x",IF(J61&gt;J60,"home",IF(J60&gt;J61,"away","draw")))))))</f>
        <v>overD</v>
      </c>
      <c r="L62">
        <f t="shared" si="348" ref="L62:M62">(L28/$K$35)*100</f>
        <v>4.1546100103650465</v>
      </c>
      <c r="M62">
        <f t="shared" si="348"/>
        <v>0.22313782652233125</v>
      </c>
      <c r="N62">
        <f t="shared" si="315"/>
        <v>3.931472183842719</v>
      </c>
      <c r="O62">
        <f t="shared" si="316"/>
        <v>-3.931472183842719</v>
      </c>
      <c r="AC62" t="str">
        <f>IF(AH43=6,"draw",IF(AH44=6,"away",IF(AH45=6,"draw",IF(AH46=6,"home",IF(AH47=6,"away",IF(AH48=6,"away",IF(AH49=6,"home",IF(AH50=6,"away",IF(AH51=6,"draw",IF(AH52=6,"home","rountime"))))))))))</f>
        <v>away</v>
      </c>
      <c r="AD62" s="201">
        <v>2.0</v>
      </c>
      <c r="AE62" s="202" t="s">
        <v>81</v>
      </c>
      <c r="AF62" s="203">
        <v>5.0</v>
      </c>
      <c r="AG62">
        <f t="shared" si="242"/>
        <v>2.968353918597404E-4</v>
      </c>
      <c r="AH62">
        <f t="shared" si="243"/>
        <v>27.0</v>
      </c>
      <c r="AI62" t="str">
        <f>IF(AND(AI65&gt;0,AI65=AI59,OR(AI65=AI60,AI65=AI61)),"overD",IF(AND(AI65&gt;AI59,AI65&gt;AI60,AI65&gt;AI61),"over",IF(AND(AI59&gt;1,OR(AI59=AI60,AI59=AI61)),"Draw",IF(AND(AI59&gt;AI60,AI60&gt;AI61),"x2",IF(AND(AI59&gt;AI61,AI61&gt;AI60),"1x",IF(AI61&gt;AI60,"home",IF(AI60&gt;AI61,"away","draw")))))))</f>
        <v>draw</v>
      </c>
      <c r="AK62">
        <f t="shared" si="349" ref="AK62:AL62">(AK28/$AJ$35)*100</f>
        <v>14.136362464337859</v>
      </c>
      <c r="AL62">
        <f t="shared" si="349"/>
        <v>6.199480742624234</v>
      </c>
      <c r="AM62">
        <f t="shared" si="319"/>
        <v>7.93688172171367</v>
      </c>
      <c r="BB62" t="str">
        <f>IF(BG43=6,"draw",IF(BG44=6,"away",IF(BG45=6,"draw",IF(BG46=6,"home",IF(BG47=6,"away",IF(BG48=6,"away",IF(BG49=6,"home",IF(BG50=6,"away",IF(BG51=6,"draw",IF(BG52=6,"home","rountime"))))))))))</f>
        <v>away</v>
      </c>
      <c r="BC62" s="201">
        <v>2.0</v>
      </c>
      <c r="BD62" s="202" t="s">
        <v>81</v>
      </c>
      <c r="BE62" s="203">
        <v>5.0</v>
      </c>
      <c r="BF62">
        <f t="shared" si="245"/>
        <v>2.968353918597404E-4</v>
      </c>
      <c r="BG62">
        <f t="shared" si="246"/>
        <v>27.0</v>
      </c>
      <c r="BH62" t="str">
        <f>IF(AND(BH65&gt;0,BH65=BH59,OR(BH65=BH60,BH65=BH61)),"overD",IF(AND(BH65&gt;BH59,BH65&gt;BH60,BH65&gt;BH61),"over",IF(AND(BH59&gt;1,OR(BH59=BH60,BH59=BH61)),"Draw",IF(AND(BH59&gt;BH60,BH60&gt;BH61),"x2",IF(AND(BH59&gt;BH61,BH61&gt;BH60),"1x",IF(BH61&gt;BH60,"home",IF(BH60&gt;BH61,"away","draw")))))))</f>
        <v>draw</v>
      </c>
      <c r="BJ62">
        <f t="shared" si="310"/>
        <v>0.005280713996877302</v>
      </c>
      <c r="BK62">
        <f t="shared" si="311"/>
        <v>-0.019869151391002142</v>
      </c>
      <c r="BL62">
        <f t="shared" si="350" ref="BL62:BM62">BJ62*BJ62</f>
        <v>2.7885940316815855E-5</v>
      </c>
      <c r="BM62">
        <f t="shared" si="350"/>
        <v>3.9478317699856235E-4</v>
      </c>
      <c r="CA62" t="str">
        <f>IF(CF43=6,"draw",IF(CF44=6,"away",IF(CF45=6,"draw",IF(CF46=6,"home",IF(CF47=6,"away",IF(CF48=6,"away",IF(CF49=6,"home",IF(CF50=6,"away",IF(CF51=6,"draw",IF(CF52=6,"home","rountime"))))))))))</f>
        <v>rountime</v>
      </c>
      <c r="CB62" s="201">
        <v>2.0</v>
      </c>
      <c r="CC62" s="202" t="s">
        <v>81</v>
      </c>
      <c r="CD62" s="203">
        <v>5.0</v>
      </c>
      <c r="CE62">
        <f t="shared" si="248"/>
        <v>0.014598850159476814</v>
      </c>
      <c r="CF62">
        <f t="shared" si="249"/>
        <v>21.0</v>
      </c>
      <c r="CG62" t="str">
        <f>IF(AND(CG65&gt;0,CG65=CG59,OR(CG65=CG60,CG65=CG61)),"overD",IF(AND(CG65&gt;CG59,CG65&gt;CG60,CG65&gt;CG61),"over",IF(AND(CG59&gt;1,OR(CG59=CG60,CG59=CG61)),"Draw",IF(AND(CG59&gt;CG60,CG60&gt;CG61),"x2",IF(AND(CG59&gt;CG61,CG61&gt;CG60),"1x",IF(CG61&gt;CG60,"home",IF(CG60&gt;CG61,"away","draw")))))))</f>
        <v>overD</v>
      </c>
      <c r="CZ62" t="e">
        <f>IF(DE43=6,"draw",IF(DE44=6,"away",IF(DE45=6,"draw",IF(DE46=6,"home",IF(DE47=6,"away",IF(DE48=6,"away",IF(DE49=6,"home",IF(DE50=6,"away",IF(DE51=6,"draw",IF(DE52=6,"home","rountime"))))))))))</f>
        <v>#N/A</v>
      </c>
      <c r="DA62" s="201">
        <v>2.0</v>
      </c>
      <c r="DB62" s="202" t="s">
        <v>81</v>
      </c>
      <c r="DC62" s="203">
        <v>5.0</v>
      </c>
      <c r="DD62" t="e">
        <f t="shared" si="251"/>
        <v>#N/A</v>
      </c>
      <c r="DE62" t="e">
        <f t="shared" si="252"/>
        <v>#N/A</v>
      </c>
      <c r="DF62" t="str">
        <f>IF(AND(DF65&gt;0,DF65=DF59,OR(DF65=DF60,DF65=DF61)),"overD",IF(AND(DF65&gt;DF59,DF65&gt;DF60,DF65&gt;DF61),"over",IF(AND(DF59&gt;1,OR(DF59=DF60,DF59=DF61)),"Draw",IF(AND(DF59&gt;DF60,DF60&gt;DF61),"x2",IF(AND(DF59&gt;DF61,DF61&gt;DF60),"1x",IF(DF61&gt;DF60,"home",IF(DF60&gt;DF61,"away","draw")))))))</f>
        <v>draw</v>
      </c>
    </row>
    <row r="63" spans="8:8" ht="15.75" customHeight="1">
      <c r="D63" t="str">
        <f>IF(I43=7,"draw",IF(I44=7,"away",IF(I45=7,"draw",IF(I46=7,"home",IF(I47=7,"away",IF(I48=7,"away",IF(I49=7,"home",IF(I50=7,"away",IF(I51=7,"draw",IF(I52=7,"home","rountime"))))))))))</f>
        <v>away</v>
      </c>
      <c r="E63" s="201">
        <v>4.0</v>
      </c>
      <c r="F63" s="202" t="s">
        <v>81</v>
      </c>
      <c r="G63" s="203">
        <v>3.0</v>
      </c>
      <c r="H63">
        <f t="shared" si="239"/>
        <v>0.022393377264489034</v>
      </c>
      <c r="I63">
        <f t="shared" si="240"/>
        <v>18.0</v>
      </c>
      <c r="J63" t="str">
        <f>IF(AND(J60&gt;J61,J61=0),"cleared away",IF(AND(J61&gt;J60,J60=0),"cleared Home","doubled"))</f>
        <v>doubled</v>
      </c>
      <c r="L63">
        <f t="shared" si="351" ref="L63:M63">(L29/$K$35)*100</f>
        <v>1.3726931705968277</v>
      </c>
      <c r="M63">
        <f t="shared" si="351"/>
        <v>0.09312299427923179</v>
      </c>
      <c r="N63">
        <f t="shared" si="315"/>
        <v>1.2795701763175982</v>
      </c>
      <c r="O63">
        <f t="shared" si="316"/>
        <v>-1.2795701763175982</v>
      </c>
      <c r="AC63" t="str">
        <f>IF(AH43=7,"draw",IF(AH44=7,"away",IF(AH45=7,"draw",IF(AH46=7,"home",IF(AH47=7,"away",IF(AH48=7,"away",IF(AH49=7,"home",IF(AH50=7,"away",IF(AH51=7,"draw",IF(AH52=7,"home","rountime"))))))))))</f>
        <v>rountime</v>
      </c>
      <c r="AD63" s="201">
        <v>4.0</v>
      </c>
      <c r="AE63" s="202" t="s">
        <v>81</v>
      </c>
      <c r="AF63" s="203">
        <v>3.0</v>
      </c>
      <c r="AG63">
        <f t="shared" si="242"/>
        <v>0.00128361681592046</v>
      </c>
      <c r="AH63">
        <f t="shared" si="243"/>
        <v>23.0</v>
      </c>
      <c r="AI63" t="str">
        <f>IF(AND(AI60&gt;AI61,AI61=0),"cleared away",IF(AND(AI61&gt;AI60,AI60=0),"cleared Home","doubled"))</f>
        <v>doubled</v>
      </c>
      <c r="AK63">
        <f t="shared" si="352" ref="AK63:AL63">(AK29/$AJ$35)*100</f>
        <v>7.948933253100305</v>
      </c>
      <c r="AL63">
        <f t="shared" si="352"/>
        <v>1.4998315940185516</v>
      </c>
      <c r="AM63">
        <f t="shared" si="319"/>
        <v>6.44910165908176</v>
      </c>
      <c r="BB63" t="str">
        <f>IF(BG43=7,"draw",IF(BG44=7,"away",IF(BG45=7,"draw",IF(BG46=7,"home",IF(BG47=7,"away",IF(BG48=7,"away",IF(BG49=7,"home",IF(BG50=7,"away",IF(BG51=7,"draw",IF(BG52=7,"home","rountime"))))))))))</f>
        <v>rountime</v>
      </c>
      <c r="BC63" s="201">
        <v>4.0</v>
      </c>
      <c r="BD63" s="202" t="s">
        <v>81</v>
      </c>
      <c r="BE63" s="203">
        <v>3.0</v>
      </c>
      <c r="BF63">
        <f t="shared" si="245"/>
        <v>0.00128361681592046</v>
      </c>
      <c r="BG63">
        <f t="shared" si="246"/>
        <v>23.0</v>
      </c>
      <c r="BH63" t="str">
        <f>IF(AND(BH60&gt;BH61,BH61=0),"cleared away",IF(AND(BH61&gt;BH60,BH60=0),"cleared Home","doubled"))</f>
        <v>doubled</v>
      </c>
      <c r="BJ63">
        <f t="shared" si="310"/>
        <v>-0.011142619983284698</v>
      </c>
      <c r="BK63">
        <f t="shared" si="311"/>
        <v>-0.012832823999360301</v>
      </c>
      <c r="BL63">
        <f t="shared" si="353" ref="BL63:BM63">BJ63*BJ63</f>
        <v>1.2415798009189548E-4</v>
      </c>
      <c r="BM63">
        <f t="shared" si="353"/>
        <v>1.6468137179855773E-4</v>
      </c>
      <c r="CA63" t="str">
        <f>IF(CF43=7,"draw",IF(CF44=7,"away",IF(CF45=7,"draw",IF(CF46=7,"home",IF(CF47=7,"away",IF(CF48=7,"away",IF(CF49=7,"home",IF(CF50=7,"away",IF(CF51=7,"draw",IF(CF52=7,"home","rountime"))))))))))</f>
        <v>away</v>
      </c>
      <c r="CB63" s="201">
        <v>4.0</v>
      </c>
      <c r="CC63" s="202" t="s">
        <v>81</v>
      </c>
      <c r="CD63" s="203">
        <v>3.0</v>
      </c>
      <c r="CE63">
        <f t="shared" si="248"/>
        <v>0.022393377264489034</v>
      </c>
      <c r="CF63">
        <f t="shared" si="249"/>
        <v>18.0</v>
      </c>
      <c r="CG63" t="str">
        <f>IF(AND(CG60&gt;CG61,CG61=0),"cleared away",IF(AND(CG61&gt;CG60,CG60=0),"cleared Home","doubled"))</f>
        <v>doubled</v>
      </c>
      <c r="CZ63" t="e">
        <f>IF(DE43=7,"draw",IF(DE44=7,"away",IF(DE45=7,"draw",IF(DE46=7,"home",IF(DE47=7,"away",IF(DE48=7,"away",IF(DE49=7,"home",IF(DE50=7,"away",IF(DE51=7,"draw",IF(DE52=7,"home","rountime"))))))))))</f>
        <v>#N/A</v>
      </c>
      <c r="DA63" s="201">
        <v>4.0</v>
      </c>
      <c r="DB63" s="202" t="s">
        <v>81</v>
      </c>
      <c r="DC63" s="203">
        <v>3.0</v>
      </c>
      <c r="DD63" t="e">
        <f t="shared" si="251"/>
        <v>#N/A</v>
      </c>
      <c r="DE63" t="e">
        <f t="shared" si="252"/>
        <v>#N/A</v>
      </c>
      <c r="DF63" t="str">
        <f>IF(AND(DF60&gt;DF61,DF61=0),"cleared away",IF(AND(DF61&gt;DF60,DF60=0),"cleared Home","doubled"))</f>
        <v>doubled</v>
      </c>
    </row>
    <row r="64" spans="8:8" ht="15.75" customHeight="1">
      <c r="D64" t="str">
        <f>IF(I43=8,"draw",IF(I44=8,"away",IF(I45=8,"draw",IF(I46=8,"home",IF(I47=8,"away",IF(I48=8,"away",IF(I49=8,"home",IF(I50=8,"away",IF(I51=8,"draw",IF(I52=8,"home","rountime"))))))))))</f>
        <v>home</v>
      </c>
      <c r="E64" s="201">
        <v>5.0</v>
      </c>
      <c r="F64" s="202" t="s">
        <v>81</v>
      </c>
      <c r="G64" s="203">
        <v>0.0</v>
      </c>
      <c r="H64">
        <f t="shared" si="239"/>
        <v>0.004822623061064966</v>
      </c>
      <c r="I64">
        <f t="shared" si="240"/>
        <v>31.0</v>
      </c>
      <c r="L64">
        <f t="shared" si="354" ref="L64:M64">(L30/$K$35)*100</f>
        <v>0.36283290819637937</v>
      </c>
      <c r="M64">
        <f t="shared" si="354"/>
        <v>0.12307224789206848</v>
      </c>
      <c r="N64">
        <f t="shared" si="315"/>
        <v>0.23976066030431098</v>
      </c>
      <c r="O64">
        <f t="shared" si="316"/>
        <v>-0.23976066030431098</v>
      </c>
      <c r="AC64" t="str">
        <f>IF(AH43=8,"draw",IF(AH44=8,"away",IF(AH45=8,"draw",IF(AH46=8,"home",IF(AH47=8,"away",IF(AH48=8,"away",IF(AH49=8,"home",IF(AH50=8,"away",IF(AH51=8,"draw",IF(AH52=8,"home","rountime"))))))))))</f>
        <v>away</v>
      </c>
      <c r="AD64" s="201">
        <v>5.0</v>
      </c>
      <c r="AE64" s="202" t="s">
        <v>81</v>
      </c>
      <c r="AF64" s="203">
        <v>0.0</v>
      </c>
      <c r="AG64">
        <f t="shared" si="242"/>
        <v>0.0037899476667805996</v>
      </c>
      <c r="AH64">
        <f t="shared" si="243"/>
        <v>19.0</v>
      </c>
      <c r="AK64">
        <f t="shared" si="355" ref="AK64:AL64">(AK30/$AJ$35)*100</f>
        <v>3.5757736134252887</v>
      </c>
      <c r="AL64">
        <f t="shared" si="355"/>
        <v>3.373445258444827</v>
      </c>
      <c r="AM64">
        <f t="shared" si="319"/>
        <v>0.2023283549804602</v>
      </c>
      <c r="BB64" t="str">
        <f>IF(BG43=8,"draw",IF(BG44=8,"away",IF(BG45=8,"draw",IF(BG46=8,"home",IF(BG47=8,"away",IF(BG48=8,"away",IF(BG49=8,"home",IF(BG50=8,"away",IF(BG51=8,"draw",IF(BG52=8,"home","rountime"))))))))))</f>
        <v>away</v>
      </c>
      <c r="BC64" s="201">
        <v>5.0</v>
      </c>
      <c r="BD64" s="202" t="s">
        <v>81</v>
      </c>
      <c r="BE64" s="203">
        <v>0.0</v>
      </c>
      <c r="BF64">
        <f t="shared" si="245"/>
        <v>0.0037899476667805996</v>
      </c>
      <c r="BG64">
        <f t="shared" si="246"/>
        <v>19.0</v>
      </c>
      <c r="BJ64">
        <f t="shared" si="310"/>
        <v>-0.0017441624912971979</v>
      </c>
      <c r="BK64">
        <f t="shared" si="311"/>
        <v>-0.011254174804804902</v>
      </c>
      <c r="BL64">
        <f t="shared" si="356" ref="BL64:BM64">BJ64*BJ64</f>
        <v>3.042102796048048E-6</v>
      </c>
      <c r="BM64">
        <f t="shared" si="356"/>
        <v>1.2665645053710545E-4</v>
      </c>
      <c r="CA64" t="str">
        <f>IF(CF43=8,"draw",IF(CF44=8,"away",IF(CF45=8,"draw",IF(CF46=8,"home",IF(CF47=8,"away",IF(CF48=8,"away",IF(CF49=8,"home",IF(CF50=8,"away",IF(CF51=8,"draw",IF(CF52=8,"home","rountime"))))))))))</f>
        <v>home</v>
      </c>
      <c r="CB64" s="201">
        <v>5.0</v>
      </c>
      <c r="CC64" s="202" t="s">
        <v>81</v>
      </c>
      <c r="CD64" s="203">
        <v>0.0</v>
      </c>
      <c r="CE64">
        <f t="shared" si="248"/>
        <v>0.004822623061064966</v>
      </c>
      <c r="CF64">
        <f t="shared" si="249"/>
        <v>31.0</v>
      </c>
      <c r="CZ64" t="e">
        <f>IF(DE43=8,"draw",IF(DE44=8,"away",IF(DE45=8,"draw",IF(DE46=8,"home",IF(DE47=8,"away",IF(DE48=8,"away",IF(DE49=8,"home",IF(DE50=8,"away",IF(DE51=8,"draw",IF(DE52=8,"home","rountime"))))))))))</f>
        <v>#N/A</v>
      </c>
      <c r="DA64" s="201">
        <v>5.0</v>
      </c>
      <c r="DB64" s="202" t="s">
        <v>81</v>
      </c>
      <c r="DC64" s="203">
        <v>0.0</v>
      </c>
      <c r="DD64" t="e">
        <f t="shared" si="251"/>
        <v>#N/A</v>
      </c>
      <c r="DE64" t="e">
        <f t="shared" si="252"/>
        <v>#N/A</v>
      </c>
    </row>
    <row r="65" spans="8:8" ht="15.75" customHeight="1">
      <c r="D65" t="str">
        <f>IF(I43=9,"draw",IF(I44=9,"away",IF(I45=9,"draw",IF(I46=9,"home",IF(I47=9,"away",IF(I48=9,"away",IF(I49=9,"home",IF(I50=9,"away",IF(I51=9,"draw",IF(I52=9,"home","rountime"))))))))))</f>
        <v>rountime</v>
      </c>
      <c r="E65" s="201">
        <v>5.0</v>
      </c>
      <c r="F65" s="202" t="s">
        <v>81</v>
      </c>
      <c r="G65" s="203">
        <v>2.0</v>
      </c>
      <c r="H65">
        <f t="shared" si="239"/>
        <v>0.012889822746433651</v>
      </c>
      <c r="I65">
        <f t="shared" si="240"/>
        <v>23.0</v>
      </c>
      <c r="J65">
        <f>COUNTIF(J48:J51,0)</f>
        <v>1.0</v>
      </c>
      <c r="L65">
        <f t="shared" si="357" ref="L65:M65">(L31/$K$35)*100</f>
        <v>0.36733669052999235</v>
      </c>
      <c r="M65">
        <f t="shared" si="357"/>
        <v>0.08132673524107664</v>
      </c>
      <c r="N65">
        <f t="shared" si="315"/>
        <v>0.28600995528891543</v>
      </c>
      <c r="O65">
        <f t="shared" si="316"/>
        <v>-0.28600995528891543</v>
      </c>
      <c r="AC65" t="str">
        <f>IF(AH43=9,"draw",IF(AH44=9,"away",IF(AH45=9,"draw",IF(AH46=9,"home",IF(AH47=9,"away",IF(AH48=9,"away",IF(AH49=9,"home",IF(AH50=9,"away",IF(AH51=9,"draw",IF(AH52=9,"home","rountime"))))))))))</f>
        <v>home</v>
      </c>
      <c r="AD65" s="201">
        <v>5.0</v>
      </c>
      <c r="AE65" s="202" t="s">
        <v>81</v>
      </c>
      <c r="AF65" s="203">
        <v>2.0</v>
      </c>
      <c r="AG65">
        <f t="shared" si="242"/>
        <v>0.001240572448972063</v>
      </c>
      <c r="AH65">
        <f t="shared" si="243"/>
        <v>24.0</v>
      </c>
      <c r="AI65">
        <f>COUNTIF(AI48:AI51,0)</f>
        <v>0.0</v>
      </c>
      <c r="AK65">
        <f t="shared" si="358" ref="AK65:AL65">(AK31/$AJ$35)*100</f>
        <v>6.078368703363041</v>
      </c>
      <c r="AL65">
        <f t="shared" si="358"/>
        <v>3.7938035700503874</v>
      </c>
      <c r="AM65">
        <f t="shared" si="319"/>
        <v>2.28456513331265</v>
      </c>
      <c r="BB65" t="str">
        <f>IF(BG43=9,"draw",IF(BG44=9,"away",IF(BG45=9,"draw",IF(BG46=9,"home",IF(BG47=9,"away",IF(BG48=9,"away",IF(BG49=9,"home",IF(BG50=9,"away",IF(BG51=9,"draw",IF(BG52=9,"home","rountime"))))))))))</f>
        <v>home</v>
      </c>
      <c r="BC65" s="201">
        <v>5.0</v>
      </c>
      <c r="BD65" s="202" t="s">
        <v>81</v>
      </c>
      <c r="BE65" s="203">
        <v>2.0</v>
      </c>
      <c r="BF65">
        <f t="shared" si="245"/>
        <v>0.001240572448972063</v>
      </c>
      <c r="BG65">
        <f t="shared" si="246"/>
        <v>24.0</v>
      </c>
      <c r="BH65">
        <f>COUNTIF(BH48:BH51,0)</f>
        <v>0.0</v>
      </c>
      <c r="BJ65">
        <f t="shared" si="310"/>
        <v>-0.014302712939680898</v>
      </c>
      <c r="BK65">
        <f t="shared" si="311"/>
        <v>-0.014819790829563001</v>
      </c>
      <c r="BL65">
        <f t="shared" si="359" ref="BL65:BM65">BJ65*BJ65</f>
        <v>2.0456759743491538E-4</v>
      </c>
      <c r="BM65">
        <f t="shared" si="359"/>
        <v>2.1962620023199963E-4</v>
      </c>
      <c r="CA65" t="str">
        <f>IF(CF43=9,"draw",IF(CF44=9,"away",IF(CF45=9,"draw",IF(CF46=9,"home",IF(CF47=9,"away",IF(CF48=9,"away",IF(CF49=9,"home",IF(CF50=9,"away",IF(CF51=9,"draw",IF(CF52=9,"home","rountime"))))))))))</f>
        <v>rountime</v>
      </c>
      <c r="CB65" s="201">
        <v>5.0</v>
      </c>
      <c r="CC65" s="202" t="s">
        <v>81</v>
      </c>
      <c r="CD65" s="203">
        <v>2.0</v>
      </c>
      <c r="CE65">
        <f t="shared" si="248"/>
        <v>0.012889822746433651</v>
      </c>
      <c r="CF65">
        <f t="shared" si="249"/>
        <v>23.0</v>
      </c>
      <c r="CG65">
        <f>COUNTIF(CG48:CG51,0)</f>
        <v>1.0</v>
      </c>
      <c r="CZ65" t="e">
        <f>IF(DE43=9,"draw",IF(DE44=9,"away",IF(DE45=9,"draw",IF(DE46=9,"home",IF(DE47=9,"away",IF(DE48=9,"away",IF(DE49=9,"home",IF(DE50=9,"away",IF(DE51=9,"draw",IF(DE52=9,"home","rountime"))))))))))</f>
        <v>#N/A</v>
      </c>
      <c r="DA65" s="201">
        <v>5.0</v>
      </c>
      <c r="DB65" s="202" t="s">
        <v>81</v>
      </c>
      <c r="DC65" s="203">
        <v>2.0</v>
      </c>
      <c r="DD65" t="e">
        <f t="shared" si="251"/>
        <v>#N/A</v>
      </c>
      <c r="DE65" t="e">
        <f t="shared" si="252"/>
        <v>#N/A</v>
      </c>
      <c r="DF65">
        <f>COUNTIF(DF48:DF51,0)</f>
        <v>0.0</v>
      </c>
    </row>
    <row r="66" spans="8:8" ht="15.75" customHeight="1">
      <c r="D66" t="str">
        <f>IF(I43=10,"draw",IF(I44=10,"away",IF(I45=10,"draw",IF(I46=10,"home",IF(I47=10,"away",IF(I48=10,"away",IF(I49=10,"home",IF(I50=10,"away",IF(I51=10,"draw",IF(I52=10,"home","rountime"))))))))))</f>
        <v>rountime</v>
      </c>
      <c r="E66" s="201">
        <v>3.0</v>
      </c>
      <c r="F66" s="202" t="s">
        <v>81</v>
      </c>
      <c r="G66" s="203">
        <v>5.0</v>
      </c>
      <c r="H66">
        <f t="shared" si="239"/>
        <v>0.010793699066503458</v>
      </c>
      <c r="I66">
        <f t="shared" si="240"/>
        <v>26.0</v>
      </c>
      <c r="L66">
        <f t="shared" si="360" ref="L66:M66">(L32/$K$35)*100</f>
        <v>0.09709514301311883</v>
      </c>
      <c r="M66">
        <f t="shared" si="360"/>
        <v>0.03582739937044966</v>
      </c>
      <c r="N66">
        <f t="shared" si="315"/>
        <v>0.061267743642669105</v>
      </c>
      <c r="O66">
        <f t="shared" si="316"/>
        <v>-0.061267743642669105</v>
      </c>
      <c r="AC66" t="str">
        <f>IF(AH43=10,"draw",IF(AH44=10,"away",IF(AH45=10,"draw",IF(AH46=10,"home",IF(AH47=10,"away",IF(AH48=10,"away",IF(AH49=10,"home",IF(AH50=10,"away",IF(AH51=10,"draw",IF(AH52=10,"home","rountime"))))))))))</f>
        <v>draw</v>
      </c>
      <c r="AD66" s="201">
        <v>3.0</v>
      </c>
      <c r="AE66" s="202" t="s">
        <v>81</v>
      </c>
      <c r="AF66" s="203">
        <v>5.0</v>
      </c>
      <c r="AG66">
        <f t="shared" si="242"/>
        <v>1.289553507792905E-4</v>
      </c>
      <c r="AH66">
        <f t="shared" si="243"/>
        <v>29.0</v>
      </c>
      <c r="AK66">
        <f t="shared" si="361" ref="AK66:AL66">(AK32/$AJ$35)*100</f>
        <v>2.7343128606191835</v>
      </c>
      <c r="AL66">
        <f t="shared" si="361"/>
        <v>2.8443612638240485</v>
      </c>
      <c r="AM66">
        <f t="shared" si="319"/>
        <v>-0.11004840320486986</v>
      </c>
      <c r="BB66" t="str">
        <f>IF(BG43=10,"draw",IF(BG44=10,"away",IF(BG45=10,"draw",IF(BG46=10,"home",IF(BG47=10,"away",IF(BG48=10,"away",IF(BG49=10,"home",IF(BG50=10,"away",IF(BG51=10,"draw",IF(BG52=10,"home","rountime"))))))))))</f>
        <v>draw</v>
      </c>
      <c r="BC66" s="201">
        <v>3.0</v>
      </c>
      <c r="BD66" s="202" t="s">
        <v>81</v>
      </c>
      <c r="BE66" s="203">
        <v>5.0</v>
      </c>
      <c r="BF66">
        <f t="shared" si="245"/>
        <v>1.289553507792905E-4</v>
      </c>
      <c r="BG66">
        <f t="shared" si="246"/>
        <v>29.0</v>
      </c>
      <c r="BJ66">
        <f t="shared" si="310"/>
        <v>-0.01868221892458278</v>
      </c>
      <c r="BK66">
        <f t="shared" si="311"/>
        <v>-0.01949523978601269</v>
      </c>
      <c r="BL66">
        <f t="shared" si="362" ref="BL66:BM66">BJ66*BJ66</f>
        <v>3.490253039460389E-4</v>
      </c>
      <c r="BM66">
        <f t="shared" si="362"/>
        <v>3.800643743141321E-4</v>
      </c>
      <c r="CA66" t="str">
        <f>IF(CF43=10,"draw",IF(CF44=10,"away",IF(CF45=10,"draw",IF(CF46=10,"home",IF(CF47=10,"away",IF(CF48=10,"away",IF(CF49=10,"home",IF(CF50=10,"away",IF(CF51=10,"draw",IF(CF52=10,"home","rountime"))))))))))</f>
        <v>rountime</v>
      </c>
      <c r="CB66" s="201">
        <v>3.0</v>
      </c>
      <c r="CC66" s="202" t="s">
        <v>81</v>
      </c>
      <c r="CD66" s="203">
        <v>5.0</v>
      </c>
      <c r="CE66">
        <f t="shared" si="248"/>
        <v>0.010793699066503458</v>
      </c>
      <c r="CF66">
        <f t="shared" si="249"/>
        <v>26.0</v>
      </c>
      <c r="CZ66" t="e">
        <f>IF(DE43=10,"draw",IF(DE44=10,"away",IF(DE45=10,"draw",IF(DE46=10,"home",IF(DE47=10,"away",IF(DE48=10,"away",IF(DE49=10,"home",IF(DE50=10,"away",IF(DE51=10,"draw",IF(DE52=10,"home","rountime"))))))))))</f>
        <v>#N/A</v>
      </c>
      <c r="DA66" s="201">
        <v>3.0</v>
      </c>
      <c r="DB66" s="202" t="s">
        <v>81</v>
      </c>
      <c r="DC66" s="203">
        <v>5.0</v>
      </c>
      <c r="DD66" t="e">
        <f t="shared" si="251"/>
        <v>#N/A</v>
      </c>
      <c r="DE66" t="e">
        <f t="shared" si="252"/>
        <v>#N/A</v>
      </c>
    </row>
    <row r="67" spans="8:8" ht="15.75" customHeight="1">
      <c r="E67" s="201">
        <v>4.0</v>
      </c>
      <c r="F67" s="202" t="s">
        <v>81</v>
      </c>
      <c r="G67" s="203">
        <v>4.0</v>
      </c>
      <c r="H67">
        <f t="shared" si="239"/>
        <v>0.0129436397368665</v>
      </c>
      <c r="I67">
        <f t="shared" si="240"/>
        <v>22.0</v>
      </c>
      <c r="L67">
        <f t="shared" si="363" ref="L67:M67">(L33/$K$35)*100</f>
        <v>0.01948720730074082</v>
      </c>
      <c r="M67">
        <f t="shared" si="363"/>
        <v>0.011837459187111554</v>
      </c>
      <c r="N67">
        <f t="shared" si="315"/>
        <v>0.007649748113629199</v>
      </c>
      <c r="O67">
        <f t="shared" si="316"/>
        <v>-0.007649748113629199</v>
      </c>
      <c r="AD67" s="201">
        <v>4.0</v>
      </c>
      <c r="AE67" s="202" t="s">
        <v>81</v>
      </c>
      <c r="AF67" s="203">
        <v>4.0</v>
      </c>
      <c r="AG67">
        <f t="shared" si="242"/>
        <v>2.596479295523484E-4</v>
      </c>
      <c r="AH67">
        <f t="shared" si="243"/>
        <v>28.0</v>
      </c>
      <c r="AK67">
        <f t="shared" si="364" ref="AK67:AL67">(AK33/$AJ$35)*100</f>
        <v>1.5681502021709999</v>
      </c>
      <c r="AL67">
        <f t="shared" si="364"/>
        <v>1.5993957349975472</v>
      </c>
      <c r="AM67">
        <f t="shared" si="319"/>
        <v>-0.03124553282654996</v>
      </c>
      <c r="BC67" s="201">
        <v>4.0</v>
      </c>
      <c r="BD67" s="202" t="s">
        <v>81</v>
      </c>
      <c r="BE67" s="203">
        <v>4.0</v>
      </c>
      <c r="BF67">
        <f t="shared" si="245"/>
        <v>2.596479295523484E-4</v>
      </c>
      <c r="BG67">
        <f t="shared" si="246"/>
        <v>28.0</v>
      </c>
      <c r="BK67">
        <f>MAX(BM67,BL67)</f>
        <v>0.004261878052108301</v>
      </c>
      <c r="BL67">
        <f t="shared" si="365" ref="BL67:BM67">SUM(BL52:BL66)</f>
        <v>0.004121172422932099</v>
      </c>
      <c r="BM67">
        <f t="shared" si="365"/>
        <v>0.004261878052108301</v>
      </c>
      <c r="CB67" s="201">
        <v>4.0</v>
      </c>
      <c r="CC67" s="202" t="s">
        <v>81</v>
      </c>
      <c r="CD67" s="203">
        <v>4.0</v>
      </c>
      <c r="CE67">
        <f t="shared" si="248"/>
        <v>0.0129436397368665</v>
      </c>
      <c r="CF67">
        <f t="shared" si="249"/>
        <v>22.0</v>
      </c>
      <c r="DA67" s="201">
        <v>4.0</v>
      </c>
      <c r="DB67" s="202" t="s">
        <v>81</v>
      </c>
      <c r="DC67" s="203">
        <v>4.0</v>
      </c>
      <c r="DD67" t="e">
        <f t="shared" si="251"/>
        <v>#N/A</v>
      </c>
      <c r="DE67" t="e">
        <f t="shared" si="252"/>
        <v>#N/A</v>
      </c>
    </row>
    <row r="68" spans="8:8" ht="15.75" customHeight="1">
      <c r="E68" s="201">
        <v>5.0</v>
      </c>
      <c r="F68" s="202" t="s">
        <v>81</v>
      </c>
      <c r="G68" s="203">
        <v>3.0</v>
      </c>
      <c r="H68">
        <f t="shared" si="239"/>
        <v>0.009933962166958934</v>
      </c>
      <c r="I68">
        <f t="shared" si="240"/>
        <v>28.0</v>
      </c>
      <c r="L68">
        <f t="shared" si="366" ref="L68:O68">SUM(L53:L67)</f>
        <v>136.37333456519576</v>
      </c>
      <c r="M68">
        <f t="shared" si="366"/>
        <v>63.62666543480421</v>
      </c>
      <c r="N68">
        <f t="shared" si="366"/>
        <v>72.7466691303918</v>
      </c>
      <c r="O68">
        <f t="shared" si="366"/>
        <v>-72.7466691303918</v>
      </c>
      <c r="AD68" s="201">
        <v>5.0</v>
      </c>
      <c r="AE68" s="202" t="s">
        <v>81</v>
      </c>
      <c r="AF68" s="203">
        <v>3.0</v>
      </c>
      <c r="AG68">
        <f t="shared" si="242"/>
        <v>3.345879796734628E-4</v>
      </c>
      <c r="AH68">
        <f t="shared" si="243"/>
        <v>26.0</v>
      </c>
      <c r="AK68">
        <f t="shared" si="367" ref="AK68:AL68">SUM(AK53:AK67)</f>
        <v>98.1419915210279</v>
      </c>
      <c r="AL68">
        <f t="shared" si="367"/>
        <v>101.85800847897212</v>
      </c>
      <c r="BC68" s="201">
        <v>5.0</v>
      </c>
      <c r="BD68" s="202" t="s">
        <v>81</v>
      </c>
      <c r="BE68" s="203">
        <v>3.0</v>
      </c>
      <c r="BF68">
        <f t="shared" si="245"/>
        <v>3.345879796734628E-4</v>
      </c>
      <c r="BG68">
        <f t="shared" si="246"/>
        <v>26.0</v>
      </c>
      <c r="BL68">
        <f t="shared" si="368" ref="BL68:BM68">MAX(BL52:BL66)</f>
        <v>0.0013810588832462636</v>
      </c>
      <c r="BM68">
        <f t="shared" si="368"/>
        <v>0.0014034233783482117</v>
      </c>
      <c r="CB68" s="201">
        <v>5.0</v>
      </c>
      <c r="CC68" s="202" t="s">
        <v>81</v>
      </c>
      <c r="CD68" s="203">
        <v>3.0</v>
      </c>
      <c r="CE68">
        <f t="shared" si="248"/>
        <v>0.009933962166958934</v>
      </c>
      <c r="CF68">
        <f t="shared" si="249"/>
        <v>28.0</v>
      </c>
      <c r="DA68" s="201">
        <v>5.0</v>
      </c>
      <c r="DB68" s="202" t="s">
        <v>81</v>
      </c>
      <c r="DC68" s="203">
        <v>3.0</v>
      </c>
      <c r="DD68" t="e">
        <f t="shared" si="251"/>
        <v>#N/A</v>
      </c>
      <c r="DE68" t="e">
        <f t="shared" si="252"/>
        <v>#N/A</v>
      </c>
    </row>
    <row r="69" spans="8:8" ht="15.75" customHeight="1">
      <c r="E69" s="201">
        <v>4.0</v>
      </c>
      <c r="F69" s="202" t="s">
        <v>81</v>
      </c>
      <c r="G69" s="203">
        <v>5.0</v>
      </c>
      <c r="H69">
        <f t="shared" si="239"/>
        <v>0.005985262791190236</v>
      </c>
      <c r="I69">
        <f t="shared" si="240"/>
        <v>29.0</v>
      </c>
      <c r="L69">
        <f>MAX(O53:O67)</f>
        <v>2.6932104061864397</v>
      </c>
      <c r="M69">
        <f>MIN(O53:O67)</f>
        <v>-20.97079251799644</v>
      </c>
      <c r="AD69" s="201">
        <v>4.0</v>
      </c>
      <c r="AE69" s="202" t="s">
        <v>81</v>
      </c>
      <c r="AF69" s="203">
        <v>5.0</v>
      </c>
      <c r="AG69">
        <f t="shared" si="242"/>
        <v>4.201692996517973E-5</v>
      </c>
      <c r="AH69">
        <f t="shared" si="243"/>
        <v>31.0</v>
      </c>
      <c r="BC69" s="201">
        <v>4.0</v>
      </c>
      <c r="BD69" s="202" t="s">
        <v>81</v>
      </c>
      <c r="BE69" s="203">
        <v>5.0</v>
      </c>
      <c r="BF69">
        <f t="shared" si="245"/>
        <v>4.201692996517973E-5</v>
      </c>
      <c r="BG69">
        <f t="shared" si="246"/>
        <v>31.0</v>
      </c>
      <c r="CB69" s="201">
        <v>4.0</v>
      </c>
      <c r="CC69" s="202" t="s">
        <v>81</v>
      </c>
      <c r="CD69" s="203">
        <v>5.0</v>
      </c>
      <c r="CE69">
        <f t="shared" si="248"/>
        <v>0.005985262791190236</v>
      </c>
      <c r="CF69">
        <f t="shared" si="249"/>
        <v>29.0</v>
      </c>
      <c r="DA69" s="201">
        <v>4.0</v>
      </c>
      <c r="DB69" s="202" t="s">
        <v>81</v>
      </c>
      <c r="DC69" s="203">
        <v>5.0</v>
      </c>
      <c r="DD69" t="e">
        <f t="shared" si="251"/>
        <v>#N/A</v>
      </c>
      <c r="DE69" t="e">
        <f t="shared" si="252"/>
        <v>#N/A</v>
      </c>
    </row>
    <row r="70" spans="8:8" ht="15.75" customHeight="1">
      <c r="E70" s="201">
        <v>5.0</v>
      </c>
      <c r="F70" s="202" t="s">
        <v>81</v>
      </c>
      <c r="G70" s="203">
        <v>4.0</v>
      </c>
      <c r="H70">
        <f t="shared" si="239"/>
        <v>0.005741948877567488</v>
      </c>
      <c r="I70">
        <f t="shared" si="240"/>
        <v>30.0</v>
      </c>
      <c r="L70" s="231">
        <f>ABS(L69)-ABS(M69)</f>
        <v>-18.27758211180996</v>
      </c>
      <c r="AD70" s="201">
        <v>5.0</v>
      </c>
      <c r="AE70" s="202" t="s">
        <v>81</v>
      </c>
      <c r="AF70" s="203">
        <v>4.0</v>
      </c>
      <c r="AG70">
        <f t="shared" si="242"/>
        <v>6.767991436215426E-5</v>
      </c>
      <c r="AH70">
        <f t="shared" si="243"/>
        <v>30.0</v>
      </c>
      <c r="BC70" s="201">
        <v>5.0</v>
      </c>
      <c r="BD70" s="202" t="s">
        <v>81</v>
      </c>
      <c r="BE70" s="203">
        <v>4.0</v>
      </c>
      <c r="BF70">
        <f t="shared" si="245"/>
        <v>6.767991436215426E-5</v>
      </c>
      <c r="BG70">
        <f t="shared" si="246"/>
        <v>30.0</v>
      </c>
      <c r="CB70" s="201">
        <v>5.0</v>
      </c>
      <c r="CC70" s="202" t="s">
        <v>81</v>
      </c>
      <c r="CD70" s="203">
        <v>4.0</v>
      </c>
      <c r="CE70">
        <f t="shared" si="248"/>
        <v>0.005741948877567488</v>
      </c>
      <c r="CF70">
        <f t="shared" si="249"/>
        <v>30.0</v>
      </c>
      <c r="DA70" s="201">
        <v>5.0</v>
      </c>
      <c r="DB70" s="202" t="s">
        <v>81</v>
      </c>
      <c r="DC70" s="203">
        <v>4.0</v>
      </c>
      <c r="DD70" t="e">
        <f t="shared" si="251"/>
        <v>#N/A</v>
      </c>
      <c r="DE70" t="e">
        <f t="shared" si="252"/>
        <v>#N/A</v>
      </c>
    </row>
    <row r="71" spans="8:8" ht="15.75" customHeight="1">
      <c r="E71" s="201">
        <v>5.0</v>
      </c>
      <c r="F71" s="202" t="s">
        <v>81</v>
      </c>
      <c r="G71" s="203">
        <v>5.0</v>
      </c>
      <c r="H71">
        <f t="shared" si="239"/>
        <v>0.0026551320698408962</v>
      </c>
      <c r="I71">
        <f t="shared" si="240"/>
        <v>32.0</v>
      </c>
      <c r="M71" t="str">
        <f>IF(AND(O74=N74,N74&gt;50),"both",IF(AND(N74=O74,N74&lt;51),"none",IF(AND(O74&gt;N74,P74&gt;40),"under",IF(AND(O74&gt;N74,P74&lt;40),"Avoid","wins"))))</f>
        <v>none</v>
      </c>
      <c r="AD71" s="201">
        <v>5.0</v>
      </c>
      <c r="AE71" s="202" t="s">
        <v>81</v>
      </c>
      <c r="AF71" s="203">
        <v>5.0</v>
      </c>
      <c r="AG71">
        <f t="shared" si="242"/>
        <v>1.0952146726941914E-5</v>
      </c>
      <c r="AH71">
        <f t="shared" si="243"/>
        <v>32.0</v>
      </c>
      <c r="BC71" s="201">
        <v>5.0</v>
      </c>
      <c r="BD71" s="202" t="s">
        <v>81</v>
      </c>
      <c r="BE71" s="203">
        <v>5.0</v>
      </c>
      <c r="BF71">
        <f t="shared" si="245"/>
        <v>1.0952146726941914E-5</v>
      </c>
      <c r="BG71">
        <f t="shared" si="246"/>
        <v>32.0</v>
      </c>
      <c r="CB71" s="201">
        <v>5.0</v>
      </c>
      <c r="CC71" s="202" t="s">
        <v>81</v>
      </c>
      <c r="CD71" s="203">
        <v>5.0</v>
      </c>
      <c r="CE71">
        <f t="shared" si="248"/>
        <v>0.0026551320698408962</v>
      </c>
      <c r="CF71">
        <f t="shared" si="249"/>
        <v>32.0</v>
      </c>
      <c r="DA71" s="201">
        <v>5.0</v>
      </c>
      <c r="DB71" s="202" t="s">
        <v>81</v>
      </c>
      <c r="DC71" s="203">
        <v>5.0</v>
      </c>
      <c r="DD71" t="e">
        <f t="shared" si="251"/>
        <v>#N/A</v>
      </c>
      <c r="DE71" t="e">
        <f t="shared" si="252"/>
        <v>#N/A</v>
      </c>
    </row>
    <row r="72" spans="8:8" ht="15.75" customHeight="1">
      <c r="E72" s="201">
        <v>0.0</v>
      </c>
      <c r="F72" s="202" t="s">
        <v>81</v>
      </c>
      <c r="G72" s="203">
        <v>3.0</v>
      </c>
      <c r="H72">
        <f t="shared" si="239"/>
        <v>0.02220440814397224</v>
      </c>
      <c r="I72">
        <f t="shared" si="240"/>
        <v>19.0</v>
      </c>
      <c r="L72">
        <f>(L68/(L68+M68))*100</f>
        <v>68.1866672825979</v>
      </c>
      <c r="M72">
        <f>M68/(L68+M68)*100</f>
        <v>31.81333271740211</v>
      </c>
      <c r="N72" t="str">
        <f>IF(M72=MAX(L72,M72),M4,L5)</f>
        <v> Monterey Bay </v>
      </c>
      <c r="O72" t="s">
        <v>110</v>
      </c>
      <c r="P72" t="str">
        <f>IF(M4=N72,"A","H")</f>
        <v>H</v>
      </c>
      <c r="AD72" s="201">
        <v>0.0</v>
      </c>
      <c r="AE72" s="202" t="s">
        <v>81</v>
      </c>
      <c r="AF72" s="203">
        <v>3.0</v>
      </c>
      <c r="AG72">
        <f t="shared" si="242"/>
        <v>0.010677433509753498</v>
      </c>
      <c r="AH72">
        <f t="shared" si="243"/>
        <v>15.0</v>
      </c>
      <c r="AK72">
        <f>(AK68/(AK68+AL68))*100</f>
        <v>49.070995760513945</v>
      </c>
      <c r="AL72">
        <f>AL68/(AK68+AL68)*100</f>
        <v>50.929004239486055</v>
      </c>
      <c r="AM72" t="str">
        <f>IF(AL72=MAX(AK72,AL72),AL4,AK5)</f>
        <v> Monterey Bay </v>
      </c>
      <c r="BC72" s="201">
        <v>0.0</v>
      </c>
      <c r="BD72" s="202" t="s">
        <v>81</v>
      </c>
      <c r="BE72" s="203">
        <v>3.0</v>
      </c>
      <c r="BF72">
        <f t="shared" si="245"/>
        <v>0.010677433509753498</v>
      </c>
      <c r="BG72">
        <f t="shared" si="246"/>
        <v>15.0</v>
      </c>
      <c r="CB72" s="201">
        <v>0.0</v>
      </c>
      <c r="CC72" s="202" t="s">
        <v>81</v>
      </c>
      <c r="CD72" s="203">
        <v>3.0</v>
      </c>
      <c r="CE72">
        <f t="shared" si="248"/>
        <v>0.02220440814397224</v>
      </c>
      <c r="CF72">
        <f t="shared" si="249"/>
        <v>19.0</v>
      </c>
      <c r="DA72" s="201">
        <v>0.0</v>
      </c>
      <c r="DB72" s="202" t="s">
        <v>81</v>
      </c>
      <c r="DC72" s="203">
        <v>3.0</v>
      </c>
      <c r="DD72" t="e">
        <f t="shared" si="251"/>
        <v>#N/A</v>
      </c>
      <c r="DE72" t="e">
        <f t="shared" si="252"/>
        <v>#N/A</v>
      </c>
    </row>
    <row r="73" spans="8:8" ht="15.75" customHeight="1">
      <c r="E73" s="201">
        <v>3.0</v>
      </c>
      <c r="F73" s="202" t="s">
        <v>81</v>
      </c>
      <c r="G73" s="203">
        <v>2.0</v>
      </c>
      <c r="H73">
        <f t="shared" si="239"/>
        <v>0.05239998014634088</v>
      </c>
      <c r="I73">
        <f t="shared" si="240"/>
        <v>6.0</v>
      </c>
      <c r="K73" t="str">
        <f>_xlfn.TEXTJOIN(",", ,L73,AK73)</f>
        <v>36.3733345651958,1.85800847897211</v>
      </c>
      <c r="L73">
        <f>ABS(L72-M72)</f>
        <v>36.37333456519579</v>
      </c>
      <c r="M73" t="str">
        <f>IF(L73=MAX(L73,AK73),N72,AM72)</f>
        <v> Monterey Bay </v>
      </c>
      <c r="N73" t="str">
        <f>IF(N72=AM72,"both","one")</f>
        <v>both</v>
      </c>
      <c r="O73" t="str">
        <f>IF(N73="both",N72,IF(K74=AK73,AM72,M73))</f>
        <v> Monterey Bay </v>
      </c>
      <c r="P73" t="str">
        <f>IF(O73=L5,"Home","Away")</f>
        <v>Home</v>
      </c>
      <c r="AD73" s="201">
        <v>3.0</v>
      </c>
      <c r="AE73" s="202" t="s">
        <v>81</v>
      </c>
      <c r="AF73" s="203">
        <v>2.0</v>
      </c>
      <c r="AG73">
        <f t="shared" si="242"/>
        <v>0.014607040912880963</v>
      </c>
      <c r="AH73">
        <f t="shared" si="243"/>
        <v>11.0</v>
      </c>
      <c r="AK73">
        <f>ABS(AK72-AL72)</f>
        <v>1.8580084789721099</v>
      </c>
      <c r="BC73" s="201">
        <v>3.0</v>
      </c>
      <c r="BD73" s="202" t="s">
        <v>81</v>
      </c>
      <c r="BE73" s="203">
        <v>2.0</v>
      </c>
      <c r="BF73">
        <f t="shared" si="245"/>
        <v>0.014607040912880963</v>
      </c>
      <c r="BG73">
        <f t="shared" si="246"/>
        <v>11.0</v>
      </c>
      <c r="CB73" s="201">
        <v>3.0</v>
      </c>
      <c r="CC73" s="202" t="s">
        <v>81</v>
      </c>
      <c r="CD73" s="203">
        <v>2.0</v>
      </c>
      <c r="CE73">
        <f t="shared" si="248"/>
        <v>0.05239998014634088</v>
      </c>
      <c r="CF73">
        <f t="shared" si="249"/>
        <v>6.0</v>
      </c>
      <c r="DA73" s="201">
        <v>3.0</v>
      </c>
      <c r="DB73" s="202" t="s">
        <v>81</v>
      </c>
      <c r="DC73" s="203">
        <v>2.0</v>
      </c>
      <c r="DD73" t="e">
        <f t="shared" si="251"/>
        <v>#N/A</v>
      </c>
      <c r="DE73" t="e">
        <f t="shared" si="252"/>
        <v>#N/A</v>
      </c>
    </row>
    <row r="74" spans="8:8" ht="15.75" customHeight="1">
      <c r="E74" s="201">
        <v>0.0</v>
      </c>
      <c r="F74" s="202" t="s">
        <v>81</v>
      </c>
      <c r="G74" s="203">
        <v>4.0</v>
      </c>
      <c r="H74">
        <f t="shared" si="239"/>
        <v>0.012834413326375903</v>
      </c>
      <c r="I74">
        <f t="shared" si="240"/>
        <v>24.0</v>
      </c>
      <c r="K74" s="236">
        <f>IF(N72=AM72,AK73+L73,MAX(L73,AK73))</f>
        <v>38.2313430441679</v>
      </c>
      <c r="L74">
        <f>K74/2</f>
        <v>19.11567152208395</v>
      </c>
      <c r="M74" t="str">
        <f>IF(L74&gt;69,O73,IF(L74&gt;39,_xlfn.TEXTJOIN(", ", ,O73,O72),"low"))</f>
        <v>low</v>
      </c>
      <c r="N74">
        <f>(SUM(L75:O75)/4)*100</f>
        <v>50.0</v>
      </c>
      <c r="O74">
        <f>(SUM(L76:O76)/4)*100</f>
        <v>50.0</v>
      </c>
      <c r="P74">
        <f>AVERAGE(N74,O74)</f>
        <v>50.0</v>
      </c>
      <c r="Q74">
        <f>P76-50</f>
        <v>-25.0</v>
      </c>
      <c r="AD74" s="201">
        <v>0.0</v>
      </c>
      <c r="AE74" s="202" t="s">
        <v>81</v>
      </c>
      <c r="AF74" s="203">
        <v>4.0</v>
      </c>
      <c r="AG74">
        <f t="shared" si="242"/>
        <v>0.0021598139486450544</v>
      </c>
      <c r="AH74">
        <f t="shared" si="243"/>
        <v>21.0</v>
      </c>
      <c r="BC74" s="201">
        <v>0.0</v>
      </c>
      <c r="BD74" s="202" t="s">
        <v>81</v>
      </c>
      <c r="BE74" s="203">
        <v>4.0</v>
      </c>
      <c r="BF74">
        <f t="shared" si="245"/>
        <v>0.0021598139486450544</v>
      </c>
      <c r="BG74">
        <f t="shared" si="246"/>
        <v>21.0</v>
      </c>
      <c r="CB74" s="201">
        <v>0.0</v>
      </c>
      <c r="CC74" s="202" t="s">
        <v>81</v>
      </c>
      <c r="CD74" s="203">
        <v>4.0</v>
      </c>
      <c r="CE74">
        <f t="shared" si="248"/>
        <v>0.012834413326375903</v>
      </c>
      <c r="CF74">
        <f t="shared" si="249"/>
        <v>24.0</v>
      </c>
      <c r="DA74" s="201">
        <v>0.0</v>
      </c>
      <c r="DB74" s="202" t="s">
        <v>81</v>
      </c>
      <c r="DC74" s="203">
        <v>4.0</v>
      </c>
      <c r="DD74" t="e">
        <f t="shared" si="251"/>
        <v>#N/A</v>
      </c>
      <c r="DE74" t="e">
        <f t="shared" si="252"/>
        <v>#N/A</v>
      </c>
    </row>
    <row r="75" spans="8:8" ht="15.75" customHeight="1">
      <c r="L75">
        <f>IF(N73="both",1,0)</f>
        <v>1.0</v>
      </c>
      <c r="M75">
        <f>IF(OR(S3="F",S3="D"),1,0)</f>
        <v>0.0</v>
      </c>
      <c r="N75">
        <f>IF(M74="low",1,0)</f>
        <v>1.0</v>
      </c>
      <c r="O75">
        <f>IF(OR(Sheet1!B104="p",Sheet1!B104="F"),1,0)</f>
        <v>0.0</v>
      </c>
      <c r="P75">
        <f>N74-O74</f>
        <v>0.0</v>
      </c>
      <c r="Q75" t="str">
        <f>IF(OR(Q74=0,Q74&gt;22,Q74&lt;7,Q74&lt;-86),"run","GO")</f>
        <v>run</v>
      </c>
    </row>
    <row r="76" spans="8:8" ht="15.75" customHeight="1">
      <c r="L76">
        <f>IF(OR(Sheet1!B3="good",Sheet1!B3="good+1"),1,0)</f>
        <v>0.0</v>
      </c>
      <c r="M76">
        <f>IF(Sheet1!A79="ok",1,0)</f>
        <v>0.0</v>
      </c>
      <c r="N76">
        <f>IF(AA15&lt;&gt;"no",1,0)</f>
        <v>1.0</v>
      </c>
      <c r="O76">
        <f>IF(OR(Sheet1!A64="",Sheet1!B70=""),0,1)</f>
        <v>1.0</v>
      </c>
      <c r="P76">
        <f>AVERAGE(P74,P75)</f>
        <v>25.0</v>
      </c>
    </row>
    <row r="77" spans="8:8" ht="15.75" customHeight="1">
      <c r="L77" t="str">
        <f>IF(K74&gt;150,"wins",IF(K74&lt;100,"handicap","double"))</f>
        <v>handicap</v>
      </c>
      <c r="M77" t="str">
        <f>IF(L75+M75&gt;N75+O75,"not close","close")</f>
        <v>close</v>
      </c>
    </row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6" spans="8:8" ht="5.0" customHeight="1"/>
  </sheetData>
  <conditionalFormatting sqref="CE5:CE36">
    <cfRule type="colorScale" priority="49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N6:S11">
    <cfRule type="colorScale" priority="44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DM11:DM15">
    <cfRule type="colorScale" priority="45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DS6:DS10">
    <cfRule type="colorScale" priority="47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DL31:DL34">
    <cfRule type="expression" priority="46" dxfId="1">
      <formula>$A$1="DON’T PLAY THIS GAME"</formula>
    </cfRule>
  </conditionalFormatting>
  <conditionalFormatting sqref="BQ28">
    <cfRule type="expression" priority="8" dxfId="2">
      <formula>$A$1="DON’T PLAY THIS GAME"</formula>
    </cfRule>
  </conditionalFormatting>
  <conditionalFormatting sqref="R27:R29">
    <cfRule type="expression" priority="15" dxfId="3">
      <formula>$A$1="DON’T PLAY THIS GAME"</formula>
    </cfRule>
  </conditionalFormatting>
  <conditionalFormatting sqref="S28">
    <cfRule type="expression" priority="98" dxfId="4">
      <formula>$A$1="DON’T PLAY THIS GAME"</formula>
    </cfRule>
  </conditionalFormatting>
  <conditionalFormatting sqref="AN30">
    <cfRule type="expression" priority="87" dxfId="5">
      <formula>$A$1="DON’T PLAY THIS GAME"</formula>
    </cfRule>
  </conditionalFormatting>
  <conditionalFormatting sqref="DN30:DN32">
    <cfRule type="expression" priority="10" dxfId="6">
      <formula>$A$1="DON’T PLAY THIS GAME"</formula>
    </cfRule>
  </conditionalFormatting>
  <conditionalFormatting sqref="DT6:DT10">
    <cfRule type="colorScale" priority="56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L6:BQ11">
    <cfRule type="colorScale" priority="97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M27">
    <cfRule type="expression" priority="88" dxfId="7">
      <formula>$A$1="DON’T PLAY THIS GAME"</formula>
    </cfRule>
  </conditionalFormatting>
  <conditionalFormatting sqref="AG5:AG36">
    <cfRule type="colorScale" priority="64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W6:W10">
    <cfRule type="colorScale" priority="35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O28:BO32">
    <cfRule type="expression" priority="92" dxfId="8">
      <formula>$A$1="DON’T PLAY THIS GAME"</formula>
    </cfRule>
  </conditionalFormatting>
  <conditionalFormatting sqref="AO31:AO34">
    <cfRule type="expression" priority="55" dxfId="9">
      <formula>$A$1="DON’T PLAY THIS GAME"</formula>
    </cfRule>
  </conditionalFormatting>
  <conditionalFormatting sqref="BM28:BM30">
    <cfRule type="expression" priority="69" dxfId="10">
      <formula>$A$1="DON’T PLAY THIS GAME"</formula>
    </cfRule>
  </conditionalFormatting>
  <conditionalFormatting sqref="X6:X10">
    <cfRule type="colorScale" priority="40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DL28">
    <cfRule type="expression" priority="79" dxfId="11">
      <formula>$A$1="DON’T PLAY THIS GAME"</formula>
    </cfRule>
  </conditionalFormatting>
  <conditionalFormatting sqref="DM28:DM32">
    <cfRule type="expression" priority="66" dxfId="12">
      <formula>$A$1="DON’T PLAY THIS GAME"</formula>
    </cfRule>
  </conditionalFormatting>
  <conditionalFormatting sqref="BU6:BU10">
    <cfRule type="colorScale" priority="83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V6:BV10">
    <cfRule type="colorScale" priority="80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AN28:AN29">
    <cfRule type="expression" priority="3" dxfId="13">
      <formula>$A$1="DON’T PLAY THIS GAME"</formula>
    </cfRule>
  </conditionalFormatting>
  <conditionalFormatting sqref="DD43:DD74">
    <cfRule type="colorScale" priority="21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AO29:AO30">
    <cfRule type="expression" priority="24" dxfId="14">
      <formula>$A$1="DON’T PLAY THIS GAME"</formula>
    </cfRule>
  </conditionalFormatting>
  <conditionalFormatting sqref="BF43:BF74">
    <cfRule type="colorScale" priority="94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U44">
    <cfRule type="colorScale" priority="70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M31:CM34">
    <cfRule type="expression" priority="12" dxfId="15">
      <formula>$A$1="DON’T PLAY THIS GAME"</formula>
    </cfRule>
  </conditionalFormatting>
  <conditionalFormatting sqref="DN27:DN28">
    <cfRule type="expression" priority="62" dxfId="16">
      <formula>$A$1="DON’T PLAY THIS GAME"</formula>
    </cfRule>
  </conditionalFormatting>
  <conditionalFormatting sqref="DT45:DT48">
    <cfRule type="colorScale" priority="26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R30:R32">
    <cfRule type="expression" priority="34" dxfId="17">
      <formula>$A$1="DON’T PLAY THIS GAME"</formula>
    </cfRule>
  </conditionalFormatting>
  <conditionalFormatting sqref="O27">
    <cfRule type="expression" priority="30" dxfId="18">
      <formula>$A$1="DON’T PLAY THIS GAME"</formula>
    </cfRule>
  </conditionalFormatting>
  <conditionalFormatting sqref="AN27">
    <cfRule type="expression" priority="68" dxfId="19">
      <formula>$A$1="DON’T PLAY THIS GAME"</formula>
    </cfRule>
  </conditionalFormatting>
  <conditionalFormatting sqref="Q28:Q33">
    <cfRule type="expression" priority="19" dxfId="20">
      <formula>$A$1="DON’T PLAY THIS GAME"</formula>
    </cfRule>
  </conditionalFormatting>
  <conditionalFormatting sqref="BP27:BP28">
    <cfRule type="expression" priority="22" dxfId="21">
      <formula>$A$1="DON’T PLAY THIS GAME"</formula>
    </cfRule>
  </conditionalFormatting>
  <conditionalFormatting sqref="AG43:AG74">
    <cfRule type="colorScale" priority="60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X44:X48">
    <cfRule type="colorScale" priority="85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N28">
    <cfRule type="expression" priority="91" dxfId="22">
      <formula>$A$1="DON’T PLAY THIS GAME"</formula>
    </cfRule>
  </conditionalFormatting>
  <conditionalFormatting sqref="AV6:AV10">
    <cfRule type="colorScale" priority="11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W44:W48">
    <cfRule type="colorScale" priority="78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K44:CP49">
    <cfRule type="colorScale" priority="59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O27:CO28">
    <cfRule type="expression" priority="73" dxfId="23">
      <formula>$A$1="DON’T PLAY THIS GAME"</formula>
    </cfRule>
  </conditionalFormatting>
  <conditionalFormatting sqref="AW6:AW10">
    <cfRule type="colorScale" priority="14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AQ29">
    <cfRule type="expression" priority="61" dxfId="24">
      <formula>$A$1="DON’T PLAY THIS GAME"</formula>
    </cfRule>
  </conditionalFormatting>
  <conditionalFormatting sqref="AQ30:AQ32">
    <cfRule type="expression" priority="38" dxfId="25">
      <formula>$A$1="DON’T PLAY THIS GAME"</formula>
    </cfRule>
  </conditionalFormatting>
  <conditionalFormatting sqref="CT44:CT48">
    <cfRule type="colorScale" priority="72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N44:S49">
    <cfRule type="colorScale" priority="65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N31:BN34">
    <cfRule type="expression" priority="43" dxfId="26">
      <formula>$A$1="DON’T PLAY THIS GAME"</formula>
    </cfRule>
  </conditionalFormatting>
  <conditionalFormatting sqref="CO30:CO32">
    <cfRule type="expression" priority="75" dxfId="27">
      <formula>$A$1="DON’T PLAY THIS GAME"</formula>
    </cfRule>
  </conditionalFormatting>
  <conditionalFormatting sqref="AO28">
    <cfRule type="expression" priority="81" dxfId="28">
      <formula>$A$1="DON’T PLAY THIS GAME"</formula>
    </cfRule>
  </conditionalFormatting>
  <conditionalFormatting sqref="DK27">
    <cfRule type="expression" priority="13" dxfId="29">
      <formula>$A$1="DON’T PLAY THIS GAME"</formula>
    </cfRule>
  </conditionalFormatting>
  <conditionalFormatting sqref="CL27">
    <cfRule type="expression" priority="95" dxfId="30">
      <formula>$A$1="DON’T PLAY THIS GAME"</formula>
    </cfRule>
  </conditionalFormatting>
  <conditionalFormatting sqref="BF5:BF36">
    <cfRule type="colorScale" priority="37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P31:P34">
    <cfRule type="expression" priority="93" dxfId="31">
      <formula>$A$1="DON’T PLAY THIS GAME"</formula>
    </cfRule>
  </conditionalFormatting>
  <conditionalFormatting sqref="DD5:DD36">
    <cfRule type="colorScale" priority="4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H5:H36">
    <cfRule type="colorScale" priority="82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O28:O30">
    <cfRule type="expression" priority="17" dxfId="32">
      <formula>$A$1="DON’T PLAY THIS GAME"</formula>
    </cfRule>
  </conditionalFormatting>
  <conditionalFormatting sqref="AM6:AR11">
    <cfRule type="colorScale" priority="2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N33">
    <cfRule type="expression" priority="1" dxfId="33">
      <formula>$A$1="DON’T PLAY THIS GAME"</formula>
    </cfRule>
  </conditionalFormatting>
  <conditionalFormatting sqref="DJ44:DO49">
    <cfRule type="colorScale" priority="86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P30:BP32">
    <cfRule type="expression" priority="6" dxfId="34">
      <formula>$A$1="DON’T PLAY THIS GAME"</formula>
    </cfRule>
  </conditionalFormatting>
  <conditionalFormatting sqref="P28">
    <cfRule type="expression" priority="74" dxfId="35">
      <formula>$A$1="DON’T PLAY THIS GAME"</formula>
    </cfRule>
  </conditionalFormatting>
  <conditionalFormatting sqref="AP28:AP32">
    <cfRule type="expression" priority="53" dxfId="36">
      <formula>$A$1="DON’T PLAY THIS GAME"</formula>
    </cfRule>
  </conditionalFormatting>
  <conditionalFormatting sqref="P29:P30">
    <cfRule type="expression" priority="89" dxfId="37">
      <formula>$A$1="DON’T PLAY THIS GAME"</formula>
    </cfRule>
  </conditionalFormatting>
  <conditionalFormatting sqref="DM33">
    <cfRule type="expression" priority="58" dxfId="38">
      <formula>$A$1="DON’T PLAY THIS GAME"</formula>
    </cfRule>
  </conditionalFormatting>
  <conditionalFormatting sqref="BV45:BV48">
    <cfRule type="colorScale" priority="84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DO28">
    <cfRule type="expression" priority="51" dxfId="39">
      <formula>$A$1="DON’T PLAY THIS GAME"</formula>
    </cfRule>
  </conditionalFormatting>
  <conditionalFormatting sqref="CM29:CM30">
    <cfRule type="expression" priority="42" dxfId="40">
      <formula>$A$1="DON’T PLAY THIS GAME"</formula>
    </cfRule>
  </conditionalFormatting>
  <conditionalFormatting sqref="BN29:BN30">
    <cfRule type="expression" priority="48" dxfId="41">
      <formula>$A$1="DON’T PLAY THIS GAME"</formula>
    </cfRule>
  </conditionalFormatting>
  <conditionalFormatting sqref="BO33">
    <cfRule type="expression" priority="71" dxfId="42">
      <formula>$A$1="DON’T PLAY THIS GAME"</formula>
    </cfRule>
  </conditionalFormatting>
  <conditionalFormatting sqref="DS44:DS48">
    <cfRule type="colorScale" priority="76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E43:CE74">
    <cfRule type="colorScale" priority="25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DT44">
    <cfRule type="colorScale" priority="77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V44">
    <cfRule type="colorScale" priority="36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AQ27:AQ28">
    <cfRule type="expression" priority="16" dxfId="43">
      <formula>$A$1="DON’T PLAY THIS GAME"</formula>
    </cfRule>
  </conditionalFormatting>
  <conditionalFormatting sqref="BU44:BU48">
    <cfRule type="colorScale" priority="39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AM44:AR49">
    <cfRule type="colorScale" priority="67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H43:H74">
    <cfRule type="colorScale" priority="27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BL44:BQ49">
    <cfRule type="colorScale" priority="23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AV44:AV48">
    <cfRule type="colorScale" priority="18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O29">
    <cfRule type="expression" priority="96" dxfId="44">
      <formula>$A$1="DON’T PLAY THIS GAME"</formula>
    </cfRule>
  </conditionalFormatting>
  <conditionalFormatting sqref="CP28">
    <cfRule type="expression" priority="90" dxfId="45">
      <formula>$A$1="DON’T PLAY THIS GAME"</formula>
    </cfRule>
  </conditionalFormatting>
  <conditionalFormatting sqref="AW44:AW48">
    <cfRule type="colorScale" priority="20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AP33">
    <cfRule type="expression" priority="31" dxfId="46">
      <formula>$A$1="DON’T PLAY THIS GAME"</formula>
    </cfRule>
  </conditionalFormatting>
  <conditionalFormatting sqref="CN28:CN32">
    <cfRule type="expression" priority="63" dxfId="47">
      <formula>$A$1="DON’T PLAY THIS GAME"</formula>
    </cfRule>
  </conditionalFormatting>
  <conditionalFormatting sqref="DL29:DL30">
    <cfRule type="expression" priority="50" dxfId="48">
      <formula>$A$1="DON’T PLAY THIS GAME"</formula>
    </cfRule>
  </conditionalFormatting>
  <conditionalFormatting sqref="BP29">
    <cfRule type="expression" priority="57" dxfId="49">
      <formula>$A$1="DON’T PLAY THIS GAME"</formula>
    </cfRule>
  </conditionalFormatting>
  <conditionalFormatting sqref="AR28">
    <cfRule type="expression" priority="41" dxfId="50">
      <formula>$A$1="DON’T PLAY THIS GAME"</formula>
    </cfRule>
  </conditionalFormatting>
  <conditionalFormatting sqref="CK6:CP11">
    <cfRule type="colorScale" priority="5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U45:CU48">
    <cfRule type="colorScale" priority="29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U6:CU10">
    <cfRule type="colorScale" priority="7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M28">
    <cfRule type="expression" priority="52" dxfId="51">
      <formula>$A$1="DON’T PLAY THIS GAME"</formula>
    </cfRule>
  </conditionalFormatting>
  <conditionalFormatting sqref="DN29">
    <cfRule type="expression" priority="54" dxfId="52">
      <formula>$A$1="DON’T PLAY THIS GAME"</formula>
    </cfRule>
  </conditionalFormatting>
  <conditionalFormatting sqref="DJ6:DO10 DJ11:DL11 DN11:DO11">
    <cfRule type="colorScale" priority="33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T6:CT10">
    <cfRule type="colorScale" priority="9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conditionalFormatting sqref="CL28:CL30">
    <cfRule type="expression" priority="28" dxfId="53">
      <formula>$A$1="DON’T PLAY THIS GAME"</formula>
    </cfRule>
  </conditionalFormatting>
  <conditionalFormatting sqref="DK28:DK30">
    <cfRule type="expression" priority="32" dxfId="54">
      <formula>$A$1="DON’T PLAY THIS GAME"</formula>
    </cfRule>
  </conditionalFormatting>
  <pageMargins left="0.7" right="0.7" top="0.75" bottom="0.75" header="0.0" footer="0.0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UG48"/>
  <sheetViews>
    <sheetView workbookViewId="0">
      <selection activeCell="A1" sqref="A1:C8"/>
    </sheetView>
  </sheetViews>
  <sheetFormatPr defaultRowHeight="15.0" customHeight="1" defaultColWidth="14"/>
  <cols>
    <col min="1" max="3" customWidth="1" width="10.0" style="0"/>
    <col min="4" max="4" customWidth="1" width="15.136719" style="0"/>
    <col min="5" max="5" customWidth="1" width="23.136719" style="0"/>
    <col min="6" max="6" customWidth="1" width="12.707031" style="0"/>
    <col min="7" max="7" customWidth="1" width="11.136719" style="0"/>
    <col min="8" max="8" customWidth="1" width="11.4296875" style="0"/>
    <col min="9" max="9" customWidth="1" width="12.0" style="0"/>
    <col min="10" max="11" customWidth="1" width="10.0" style="0"/>
    <col min="12" max="12" customWidth="1" width="12.0" style="0"/>
    <col min="13" max="13" customWidth="1" width="10.0" style="0"/>
    <col min="14" max="14" customWidth="1" width="10.707031" style="0"/>
    <col min="15" max="18" customWidth="1" width="10.0" style="0"/>
    <col min="19" max="19" customWidth="1" width="11.707031" style="0"/>
    <col min="20" max="20" customWidth="1" width="17.136719" style="0"/>
    <col min="21" max="22" customWidth="1" width="10.0" style="0"/>
    <col min="23" max="23" customWidth="1" width="11.0" style="0"/>
    <col min="24" max="24" customWidth="1" width="13.566406" style="0"/>
    <col min="25" max="27" customWidth="1" width="10.0" style="0"/>
    <col min="28" max="28" customWidth="1" width="17.859375" style="0"/>
    <col min="29" max="31" customWidth="1" width="10.0" style="0"/>
    <col min="32" max="32" customWidth="1" width="12.136719" style="0"/>
    <col min="33" max="33" customWidth="1" width="11.136719" style="0"/>
    <col min="34" max="34" customWidth="1" width="10.0" style="0"/>
    <col min="35" max="35" customWidth="1" width="11.2890625" style="0"/>
    <col min="36" max="36" customWidth="1" width="15.4296875" style="0"/>
    <col min="37" max="38" customWidth="1" width="10.0" style="0"/>
    <col min="39" max="39" customWidth="1" width="11.2890625" style="0"/>
    <col min="40" max="40" customWidth="1" width="10.0" style="0"/>
    <col min="41" max="41" customWidth="1" width="12.136719" style="0"/>
    <col min="42" max="49" customWidth="1" width="10.0" style="0"/>
  </cols>
  <sheetData>
    <row r="1" spans="8:8" ht="15.0" customHeight="1">
      <c r="A1" s="237" t="str">
        <f>IF(Sheet1!D43&lt;10,"DON’T PLAY THIS GAME","LET THE GAME BEGIN!!")</f>
        <v>DON’T PLAY THIS GAME</v>
      </c>
      <c r="B1" s="238"/>
      <c r="C1" s="238"/>
      <c r="F1" s="239">
        <v>1.0</v>
      </c>
      <c r="O1">
        <v>2.0</v>
      </c>
      <c r="W1">
        <v>3.0</v>
      </c>
      <c r="AE1">
        <v>4.0</v>
      </c>
      <c r="AM1">
        <v>5.0</v>
      </c>
      <c r="AS1" s="196"/>
      <c r="AT1" s="196"/>
      <c r="AU1" s="196"/>
      <c r="AV1" s="196"/>
      <c r="AW1" s="196"/>
    </row>
    <row r="2" spans="8:8" ht="15.0" customHeight="1">
      <c r="A2" s="240"/>
      <c r="E2" s="241" t="str">
        <f>Sheet2!E4</f>
        <v> Monterey Bay </v>
      </c>
      <c r="F2" s="193"/>
      <c r="G2" s="194"/>
      <c r="H2" s="194">
        <f>IF(G5&lt;0,-G5,G5)</f>
        <v>0.51880091242989</v>
      </c>
      <c r="I2" s="199">
        <f>I7/(G6+I7)</f>
        <v>0.3281452220545703</v>
      </c>
      <c r="M2" s="241" t="str">
        <f>Sheet2!AD4</f>
        <v> Sporting JAX </v>
      </c>
      <c r="N2" s="193"/>
      <c r="O2" s="194"/>
      <c r="P2" s="194">
        <f>IF(O5&lt;0,-O5,O5)</f>
        <v>0.04481583020259006</v>
      </c>
      <c r="Q2" s="199">
        <f>Q7/(O6+Q7)</f>
        <v>0.019346857512314675</v>
      </c>
      <c r="U2" s="241" t="str">
        <f>Sheet2!BC4</f>
        <v> Sporting JAX </v>
      </c>
      <c r="V2" s="193"/>
      <c r="W2" s="194"/>
      <c r="X2" s="194">
        <f>IF(W5&lt;0,-W5,W5)</f>
        <v>0.04481583020259006</v>
      </c>
      <c r="Y2" s="199">
        <f>Y7/(W6+Y7)</f>
        <v>0.019346857512314675</v>
      </c>
      <c r="AC2" s="241" t="str">
        <f>Sheet2!CB4</f>
        <v> Monterey Bay </v>
      </c>
      <c r="AD2" s="193"/>
      <c r="AE2" s="194"/>
      <c r="AF2" s="194">
        <f>IF(AE5&lt;0,-AE5,AE5)</f>
        <v>0.51880091242989</v>
      </c>
      <c r="AG2" s="199">
        <f>AG7/(AE6+AG7)</f>
        <v>0.3281452220545703</v>
      </c>
      <c r="AK2" s="241" t="str">
        <f>Sheet2!DA4</f>
        <v> Galway Utd </v>
      </c>
      <c r="AL2" s="193"/>
      <c r="AM2" s="194"/>
      <c r="AN2" s="194" t="e">
        <f>IF(AM5&lt;0,-AM5,AM5)</f>
        <v>#N/A</v>
      </c>
      <c r="AO2" s="199" t="e">
        <f>AO7/(AM6+AO7)</f>
        <v>#N/A</v>
      </c>
      <c r="AS2" s="192"/>
      <c r="AT2" s="192"/>
      <c r="AU2" s="192"/>
      <c r="AV2" s="192"/>
      <c r="AW2" s="192"/>
    </row>
    <row r="3" spans="8:8" ht="15.0" customHeight="1">
      <c r="A3" s="240"/>
      <c r="E3" s="242" t="s">
        <v>111</v>
      </c>
      <c r="F3" s="205" t="s">
        <v>112</v>
      </c>
      <c r="G3" s="243">
        <f>Sheet1!E45</f>
        <v>1.3668</v>
      </c>
      <c r="H3" s="192" t="str">
        <f>IF(G3&gt;1.45,"Mega",IF(G3&gt;1.2,"High scoring",IF(G3&lt;1,"low scoring","medium")))</f>
        <v>High scoring</v>
      </c>
      <c r="I3" s="204">
        <f>G6-I7</f>
        <v>0.5434082815242001</v>
      </c>
      <c r="J3" t="s">
        <v>113</v>
      </c>
      <c r="K3">
        <f>I13/(G6+I13)*100</f>
        <v>33.84419326666382</v>
      </c>
      <c r="M3" s="242" t="s">
        <v>111</v>
      </c>
      <c r="N3" s="205" t="s">
        <v>112</v>
      </c>
      <c r="O3" s="243">
        <f>Sheet1!M45</f>
        <v>1.3752</v>
      </c>
      <c r="P3" s="192" t="str">
        <f>IF(O3&gt;1.2,"High scoring",IF(O3&lt;1,"low scoring","medium"))</f>
        <v>High scoring</v>
      </c>
      <c r="Q3" s="204">
        <f>O6-Q7</f>
        <v>2.22680811148355</v>
      </c>
      <c r="R3" t="s">
        <v>113</v>
      </c>
      <c r="S3">
        <f>Q13/(O6+Q13)*100</f>
        <v>49.501872767301045</v>
      </c>
      <c r="U3" s="242" t="s">
        <v>111</v>
      </c>
      <c r="V3" s="205" t="s">
        <v>112</v>
      </c>
      <c r="W3" s="243">
        <f>Sheet1!$E$45</f>
        <v>1.3668</v>
      </c>
      <c r="X3" s="192" t="str">
        <f>IF(W3&gt;1.2,"High scoring",IF(W3&lt;1,"low scoring","medium"))</f>
        <v>High scoring</v>
      </c>
      <c r="Y3" s="204">
        <f>W6-Y7</f>
        <v>2.22680811148355</v>
      </c>
      <c r="Z3" t="s">
        <v>113</v>
      </c>
      <c r="AA3">
        <f>Y13/(W6+Y13)*100</f>
        <v>49.501872767301045</v>
      </c>
      <c r="AC3" s="242" t="s">
        <v>111</v>
      </c>
      <c r="AD3" s="205" t="s">
        <v>112</v>
      </c>
      <c r="AE3" s="243">
        <f>Sheet1!$E$45</f>
        <v>1.3668</v>
      </c>
      <c r="AF3" s="192" t="str">
        <f>IF(AE3&gt;1.2,"High scoring",IF(AE3&lt;1,"low scoring","medium"))</f>
        <v>High scoring</v>
      </c>
      <c r="AG3" s="204">
        <f>AE6-AG7</f>
        <v>0.5434082815242001</v>
      </c>
      <c r="AH3" t="s">
        <v>113</v>
      </c>
      <c r="AI3">
        <f>AG13/(AE6+AG13)*100</f>
        <v>33.84419326666382</v>
      </c>
      <c r="AK3" s="242" t="s">
        <v>111</v>
      </c>
      <c r="AL3" s="205" t="s">
        <v>112</v>
      </c>
      <c r="AM3" s="243">
        <f>Sheet1!$E$45</f>
        <v>1.3668</v>
      </c>
      <c r="AN3" s="192" t="str">
        <f>IF(AM3&gt;1.2,"High scoring",IF(AM3&lt;1,"low scoring","medium"))</f>
        <v>High scoring</v>
      </c>
      <c r="AO3" s="204" t="e">
        <f>AM6-AO7</f>
        <v>#N/A</v>
      </c>
      <c r="AP3" t="s">
        <v>113</v>
      </c>
      <c r="AQ3" t="e">
        <f>AO13/(AM6+AO13)*100</f>
        <v>#N/A</v>
      </c>
      <c r="AS3" s="192"/>
      <c r="AT3" s="192"/>
      <c r="AU3" s="192"/>
      <c r="AV3" s="192"/>
      <c r="AW3" s="192"/>
    </row>
    <row r="4" spans="8:8" ht="15.0" customHeight="1">
      <c r="A4" s="240"/>
      <c r="E4" s="244" t="str">
        <f>Sheet2!G4</f>
        <v> Sporting JAX </v>
      </c>
      <c r="F4" s="205" t="s">
        <v>114</v>
      </c>
      <c r="G4" s="192">
        <f>Sheet2!C5</f>
        <v>1.3216096501690342</v>
      </c>
      <c r="H4" s="192">
        <f>Sheet2!D5</f>
        <v>0.8028087377391403</v>
      </c>
      <c r="I4" s="204">
        <f>SUM(H4,G4,I5)</f>
        <v>2.6432193003380644</v>
      </c>
      <c r="M4" s="244" t="str">
        <f>Sheet2!AF4</f>
        <v> Monterey Bay </v>
      </c>
      <c r="N4" s="205" t="s">
        <v>114</v>
      </c>
      <c r="O4" s="192">
        <f>Sheet2!C6</f>
        <v>2.249216026584849</v>
      </c>
      <c r="P4" s="192">
        <f>Sheet2!D6</f>
        <v>2.29403185678744</v>
      </c>
      <c r="Q4" s="204">
        <f>SUM(P4,O4,Q5)</f>
        <v>4.588063713574879</v>
      </c>
      <c r="U4" s="244" t="str">
        <f>Sheet2!BE4</f>
        <v> Monterey Bay </v>
      </c>
      <c r="V4" s="205" t="s">
        <v>114</v>
      </c>
      <c r="W4" s="192">
        <f>Sheet2!C7</f>
        <v>2.249216026584849</v>
      </c>
      <c r="X4" s="192">
        <f>Sheet2!D7</f>
        <v>2.29403185678744</v>
      </c>
      <c r="Y4" s="204">
        <f>SUM(X4,W4,Y5)</f>
        <v>4.588063713574879</v>
      </c>
      <c r="AC4" s="244" t="str">
        <f>Sheet2!CD4</f>
        <v> Sporting JAX </v>
      </c>
      <c r="AD4" s="205" t="s">
        <v>114</v>
      </c>
      <c r="AE4" s="192">
        <f>Sheet2!C8</f>
        <v>1.3216096501690342</v>
      </c>
      <c r="AF4" s="192">
        <f>Sheet2!D8</f>
        <v>0.8028087377391403</v>
      </c>
      <c r="AG4" s="204">
        <f>SUM(AF4,AE4,AG5)</f>
        <v>2.6432193003380644</v>
      </c>
      <c r="AK4" s="244" t="str">
        <f>Sheet2!DC4</f>
        <v> Cork City </v>
      </c>
      <c r="AL4" s="205" t="s">
        <v>114</v>
      </c>
      <c r="AM4" s="192" t="e">
        <f>Sheet2!C9</f>
        <v>#N/A</v>
      </c>
      <c r="AN4" s="192" t="e">
        <f>Sheet2!D9</f>
        <v>#N/A</v>
      </c>
      <c r="AO4" s="204" t="e">
        <f>SUM(AN4,AM4,AO5)</f>
        <v>#N/A</v>
      </c>
      <c r="AS4" s="192"/>
      <c r="AT4" s="192"/>
      <c r="AU4" s="192"/>
      <c r="AV4" s="192"/>
      <c r="AW4" s="192"/>
    </row>
    <row r="5" spans="8:8" ht="15.0" customHeight="1">
      <c r="A5" s="240"/>
      <c r="E5" s="195">
        <f>K3-K23</f>
        <v>-15.0964368277048</v>
      </c>
      <c r="F5" s="205" t="s">
        <v>91</v>
      </c>
      <c r="G5" s="192">
        <f>Sheet2!T3</f>
        <v>0.51880091242989</v>
      </c>
      <c r="H5" s="192">
        <f>(I5/I4)*100</f>
        <v>19.627615172283893</v>
      </c>
      <c r="I5" s="204">
        <f>IF(G5&gt;0,G5,-G5)</f>
        <v>0.51880091242989</v>
      </c>
      <c r="M5" s="195">
        <f>S3-S23</f>
        <v>14.771303695644505</v>
      </c>
      <c r="N5" s="205" t="s">
        <v>91</v>
      </c>
      <c r="O5" s="192">
        <f>Sheet2!AS3</f>
        <v>-0.04481583020259006</v>
      </c>
      <c r="P5" s="192">
        <f>(Q5/Q4)*100</f>
        <v>0.9767918015173099</v>
      </c>
      <c r="Q5" s="204">
        <f>IF(O5&gt;0,O5,-O5)</f>
        <v>0.04481583020259006</v>
      </c>
      <c r="U5" s="195">
        <f>AA3-AA23</f>
        <v>14.771303695644505</v>
      </c>
      <c r="V5" s="205" t="s">
        <v>91</v>
      </c>
      <c r="W5" s="192">
        <f>Sheet2!BR3</f>
        <v>-0.04481583020259006</v>
      </c>
      <c r="X5" s="192">
        <f>(Y5/Y4)*100</f>
        <v>0.9767918015173099</v>
      </c>
      <c r="Y5" s="204">
        <f>IF(W5&gt;0,W5,-W5)</f>
        <v>0.04481583020259006</v>
      </c>
      <c r="AC5" s="195">
        <f>AI3-AI23</f>
        <v>-15.0964368277048</v>
      </c>
      <c r="AD5" s="205" t="s">
        <v>91</v>
      </c>
      <c r="AE5" s="192">
        <f>Sheet2!CQ3</f>
        <v>0.51880091242989</v>
      </c>
      <c r="AF5" s="192">
        <f>(AG5/AG4)*100</f>
        <v>19.627615172283893</v>
      </c>
      <c r="AG5" s="204">
        <f>IF(AE5&gt;0,AE5,-AE5)</f>
        <v>0.51880091242989</v>
      </c>
      <c r="AK5" s="195" t="e">
        <f>AQ3-AQ23</f>
        <v>#N/A</v>
      </c>
      <c r="AL5" s="205" t="s">
        <v>91</v>
      </c>
      <c r="AM5" s="192" t="e">
        <f>Sheet2!DP3</f>
        <v>#N/A</v>
      </c>
      <c r="AN5" s="192" t="e">
        <f>(AO5/AO4)*100</f>
        <v>#N/A</v>
      </c>
      <c r="AO5" s="204" t="e">
        <f>IF(AM5&gt;0,AM5,-AM5)</f>
        <v>#N/A</v>
      </c>
      <c r="AS5" s="192"/>
      <c r="AT5" s="192"/>
      <c r="AU5" s="192"/>
      <c r="AV5" s="192"/>
      <c r="AW5" s="192"/>
    </row>
    <row r="6" spans="8:8" ht="15.0" customHeight="1">
      <c r="A6" s="240"/>
      <c r="E6" s="195"/>
      <c r="F6" s="245" t="s">
        <v>115</v>
      </c>
      <c r="G6" s="217">
        <f>Sheet2!T2</f>
        <v>1.0622091939540872</v>
      </c>
      <c r="H6" s="217" t="str">
        <f>IF(H5&lt;21.5,"2handicap",IF(H5&lt;26,"Double C.",IF(H5&lt;32,"Run please","A win")))</f>
        <v>2handicap</v>
      </c>
      <c r="I6" s="219" t="str">
        <f>IF(I3&lt;0.35,"run away",IF(I3&lt;0.61,"double"," win"))</f>
        <v>double</v>
      </c>
      <c r="J6" t="s">
        <v>116</v>
      </c>
      <c r="M6" s="195"/>
      <c r="N6" s="245" t="s">
        <v>115</v>
      </c>
      <c r="O6" s="217">
        <f>Sheet2!AS2</f>
        <v>2.2716239416861446</v>
      </c>
      <c r="P6" s="217" t="str">
        <f>IF(P5&lt;21.5,"2handicap",IF(P5&lt;26,"Double C.",IF(P5&lt;32,"Run please","A win")))</f>
        <v>2handicap</v>
      </c>
      <c r="Q6" s="219" t="str">
        <f>IF(Q3&lt;0.35,"run away",IF(Q3&lt;0.61,"double"," win"))</f>
        <v> win</v>
      </c>
      <c r="R6" t="s">
        <v>116</v>
      </c>
      <c r="U6" s="195"/>
      <c r="V6" s="245" t="s">
        <v>115</v>
      </c>
      <c r="W6" s="217">
        <f>Sheet2!BR2</f>
        <v>2.2716239416861446</v>
      </c>
      <c r="X6" s="217" t="str">
        <f>IF(X5&lt;21.5,"2handicap",IF(X5&lt;26,"Double C.",IF(X5&lt;32,"Run please","A win")))</f>
        <v>2handicap</v>
      </c>
      <c r="Y6" s="219" t="str">
        <f>IF(Y3&lt;0.35,"run away",IF(Y3&lt;0.61,"double"," win"))</f>
        <v> win</v>
      </c>
      <c r="Z6" t="s">
        <v>116</v>
      </c>
      <c r="AC6" s="195"/>
      <c r="AD6" s="245" t="s">
        <v>115</v>
      </c>
      <c r="AE6" s="217">
        <f>Sheet2!CQ2</f>
        <v>1.0622091939540872</v>
      </c>
      <c r="AF6" s="217" t="str">
        <f>IF(AF5&lt;21.5,"2handicap",IF(AF5&lt;26,"Double C.",IF(AF5&lt;32,"Run please","A win")))</f>
        <v>2handicap</v>
      </c>
      <c r="AG6" s="219" t="str">
        <f>IF(AG3&lt;0.35,"run away",IF(AG3&lt;0.61,"double"," win"))</f>
        <v>double</v>
      </c>
      <c r="AH6" t="s">
        <v>116</v>
      </c>
      <c r="AK6" s="195"/>
      <c r="AL6" s="245" t="s">
        <v>115</v>
      </c>
      <c r="AM6" s="217" t="e">
        <f>Sheet2!DP2</f>
        <v>#N/A</v>
      </c>
      <c r="AN6" s="217" t="e">
        <f>IF(AN5&lt;21.5,"2handicap",IF(AN5&lt;26,"Double C.",IF(AN5&lt;32,"Run please","A win")))</f>
        <v>#N/A</v>
      </c>
      <c r="AO6" s="219" t="e">
        <f>IF(AO3&lt;0.35,"run away",IF(AO3&lt;0.61,"double"," win"))</f>
        <v>#N/A</v>
      </c>
      <c r="AP6" t="s">
        <v>116</v>
      </c>
      <c r="AS6" s="192"/>
      <c r="AT6" s="192"/>
      <c r="AU6" s="192"/>
      <c r="AV6" s="192"/>
      <c r="AW6" s="192"/>
    </row>
    <row r="7" spans="8:8" ht="15.0" customHeight="1">
      <c r="A7" s="240"/>
      <c r="D7" t="str">
        <f>IF(G7="play not","scrapped",IF(AND(E7="play",F7=K3),"SUPPORT",IF(AND(E7="play",F7=K23),"SUPPORT","Scrapped")))</f>
        <v>SUPPORT</v>
      </c>
      <c r="E7" s="195" t="str">
        <f>IF(AND(K3-K23&lt;6,K3-K23&gt;-6),"play not","play")</f>
        <v>play</v>
      </c>
      <c r="F7" s="192">
        <f>IF(AND(I3&lt;0,I23&lt;0),MAX(K3,K23),MIN(K3,K23))</f>
        <v>33.84419326666382</v>
      </c>
      <c r="G7" s="192" t="str">
        <f>IF(OR(H6="run please",H26="run please"),"play not",IF(H7&lt;0,"play not",IF(AND(H7&gt;49,H7&lt;52),"play not","play")))</f>
        <v>play</v>
      </c>
      <c r="H7" s="192">
        <f>IF(K3&gt;K23,K23/(K3+K23)*100,K3/(K3+K23)*100)</f>
        <v>40.882122945489805</v>
      </c>
      <c r="I7" s="204">
        <f>IF(G5&lt;0,-G5,G5)</f>
        <v>0.51880091242989</v>
      </c>
      <c r="L7" t="str">
        <f>IF(O7="play not","scrapped",IF(AND(M7="play",N7=S3),"SUPPORT",IF(AND(M7="play",N7=S23),"SUPPORT","Scrapped")))</f>
        <v>SUPPORT</v>
      </c>
      <c r="M7" s="195" t="str">
        <f>IF(AND(S3-S23&lt;6,S3-S23&gt;-6),"play not","play")</f>
        <v>play</v>
      </c>
      <c r="N7" s="192">
        <f>IF(AND(Q3&lt;0,Q23&lt;0),MAX(S3,S23),MIN(S3,S23))</f>
        <v>34.73056907165645</v>
      </c>
      <c r="O7" s="192" t="str">
        <f>IF(OR(P6="run please",P26="run please"),"play not",IF(P7&lt;0,"play not",IF(AND(P7&gt;49,P7&lt;52),"play not","play")))</f>
        <v>play</v>
      </c>
      <c r="P7" s="192">
        <f>IF(S3&gt;S23,S23/(S3+S23)*100,S3/(S3+S23)*100)</f>
        <v>41.23182032174397</v>
      </c>
      <c r="Q7" s="204">
        <f>IF(O5&lt;0,-O5,O5)</f>
        <v>0.04481583020259006</v>
      </c>
      <c r="T7" t="str">
        <f>IF(W7="play not","scrapped",IF(AND(U7="play",V7=AA3),"SUPPORT",IF(AND(U7="play",V7=AA23),"SUPPORT","Scrapped")))</f>
        <v>SUPPORT</v>
      </c>
      <c r="U7" s="195" t="str">
        <f>IF(AND(AA3-AA23&lt;6,AA3-AA23&gt;-6),"play not","play")</f>
        <v>play</v>
      </c>
      <c r="V7" s="192">
        <f>IF(AND(Y3&lt;0,Y23&lt;0),MAX(AA3,AA23),MIN(AA3,AA23))</f>
        <v>34.73056907165645</v>
      </c>
      <c r="W7" s="192" t="str">
        <f>IF(OR(X6="run please",X26="run please"),"play not",IF(X7&lt;0,"play not",IF(AND(X7&gt;49,X7&lt;52),"play not","play")))</f>
        <v>play</v>
      </c>
      <c r="X7" s="192">
        <f>IF(AA3&gt;AA23,AA23/(AA3+AA23)*100,AA3/(AA3+AA23)*100)</f>
        <v>41.23182032174397</v>
      </c>
      <c r="Y7" s="204">
        <f>IF(W5&lt;0,-W5,W5)</f>
        <v>0.04481583020259006</v>
      </c>
      <c r="AB7" t="str">
        <f>IF(AE7="play not","scrapped",IF(AND(AC7="play",AD7=AI3),"SUPPORT",IF(AND(AC7="play",AD7=AI23),"SUPPORT","Scrapped")))</f>
        <v>SUPPORT</v>
      </c>
      <c r="AC7" s="195" t="str">
        <f>IF(AND(AI3-AI23&lt;6,AI3-AI23&gt;-6),"play not","play")</f>
        <v>play</v>
      </c>
      <c r="AD7" s="192">
        <f>IF(AND(AG3&lt;0,AG23&lt;0),MAX(AI3,AI23),MIN(AI3,AI23))</f>
        <v>33.84419326666382</v>
      </c>
      <c r="AE7" s="192" t="str">
        <f>IF(OR(AF6="run please",AF26="run please"),"play not",IF(AF7&lt;0,"play not",IF(AND(AF7&gt;49,AF7&lt;52),"play not","play")))</f>
        <v>play</v>
      </c>
      <c r="AF7" s="192">
        <f>IF(AI3&gt;AI23,AI23/(AI3+AI23)*100,AI3/(AI3+AI23)*100)</f>
        <v>40.882122945489805</v>
      </c>
      <c r="AG7" s="204">
        <f>IF(AE5&lt;0,-AE5,AE5)</f>
        <v>0.51880091242989</v>
      </c>
      <c r="AJ7" s="196" t="e">
        <f>IF(AM7="play not","scrapped",IF(AND(AK7="play",AL7=AQ3),"SUPPORT",IF(AND(AK7="play",AL7=AQ23),"SUPPORT","Scrapped")))</f>
        <v>#N/A</v>
      </c>
      <c r="AK7" s="195" t="e">
        <f>IF(AND(AQ3-AQ23&lt;6,AQ3-AQ23&gt;-6),"play not","play")</f>
        <v>#N/A</v>
      </c>
      <c r="AL7" s="192" t="e">
        <f>IF(AND(AO3&lt;0,AO23&lt;0),MAX(AQ3,AQ23),MIN(AQ3,AQ23))</f>
        <v>#N/A</v>
      </c>
      <c r="AM7" s="192" t="e">
        <f>IF(OR(AN6="run please",AN26="run please"),"play not",IF(AN7&lt;0,"play not",IF(AND(AN7&gt;49,AN7&lt;52),"play not","play")))</f>
        <v>#N/A</v>
      </c>
      <c r="AN7" s="192" t="e">
        <f>IF(AQ3&gt;AQ23,AQ23/(AQ3+AQ23)*100,AQ3/(AQ3+AQ23)*100)</f>
        <v>#N/A</v>
      </c>
      <c r="AO7" s="204" t="e">
        <f>IF(AM5&lt;0,-AM5,AM5)</f>
        <v>#N/A</v>
      </c>
      <c r="AS7" s="192"/>
      <c r="AT7" s="192"/>
      <c r="AU7" s="192"/>
      <c r="AV7" s="192"/>
      <c r="AW7" s="192"/>
    </row>
    <row r="8" spans="8:8" ht="15.0" customHeight="1">
      <c r="A8" s="240"/>
      <c r="D8" t="str">
        <f>IF(I19=I3,"Tab1 ","Tab2")</f>
        <v>Tab1 </v>
      </c>
      <c r="E8" s="195"/>
      <c r="F8" s="246" t="s">
        <v>117</v>
      </c>
      <c r="G8" s="193" t="s">
        <v>118</v>
      </c>
      <c r="H8" s="247" t="str">
        <f>Sheet2!T8</f>
        <v>medium</v>
      </c>
      <c r="I8" s="199"/>
      <c r="L8" t="str">
        <f>IF(Q19=Q3,"Tab1 ","Tab2")</f>
        <v>Tab2</v>
      </c>
      <c r="M8" s="195"/>
      <c r="N8" s="246" t="s">
        <v>117</v>
      </c>
      <c r="O8" s="193" t="s">
        <v>118</v>
      </c>
      <c r="P8" s="247" t="str">
        <f>Sheet2!AS8</f>
        <v>high</v>
      </c>
      <c r="Q8" s="199"/>
      <c r="T8" t="str">
        <f>IF(Y19=Y3,"Tab1 ","Tab2")</f>
        <v>Tab2</v>
      </c>
      <c r="U8" s="195"/>
      <c r="V8" s="246" t="s">
        <v>117</v>
      </c>
      <c r="W8" s="193" t="s">
        <v>118</v>
      </c>
      <c r="X8" s="247" t="str">
        <f>Sheet2!BR8</f>
        <v>high</v>
      </c>
      <c r="Y8" s="199"/>
      <c r="AB8" t="str">
        <f>IF(AG19=AG3,"Tab1 ","Tab2")</f>
        <v>Tab1 </v>
      </c>
      <c r="AC8" s="195"/>
      <c r="AD8" s="246" t="s">
        <v>117</v>
      </c>
      <c r="AE8" s="193" t="s">
        <v>118</v>
      </c>
      <c r="AF8" s="247" t="str">
        <f>Sheet2!CQ8</f>
        <v>medium</v>
      </c>
      <c r="AG8" s="199"/>
      <c r="AJ8" t="e">
        <f>IF(AO19=AO3,"Tab1 ","Tab2")</f>
        <v>#N/A</v>
      </c>
      <c r="AK8" s="195"/>
      <c r="AL8" s="246" t="s">
        <v>117</v>
      </c>
      <c r="AM8" s="193" t="s">
        <v>118</v>
      </c>
      <c r="AN8" s="247" t="e">
        <f>Sheet2!DP8</f>
        <v>#N/A</v>
      </c>
      <c r="AO8" s="199"/>
      <c r="AS8" s="192"/>
      <c r="AT8" s="246"/>
      <c r="AU8" s="192"/>
      <c r="AV8" s="192"/>
      <c r="AW8" s="192"/>
    </row>
    <row r="9" spans="8:8" ht="15.0">
      <c r="D9" t="str">
        <f>IF(AND(I3&lt;0,I23&lt;0),"2handicap"," ")</f>
        <v> </v>
      </c>
      <c r="E9" s="195"/>
      <c r="F9" s="192"/>
      <c r="G9" s="248"/>
      <c r="H9" s="249" t="s">
        <v>119</v>
      </c>
      <c r="I9" s="250" t="s">
        <v>120</v>
      </c>
      <c r="L9" t="str">
        <f>IF(AND(Q3&lt;0,Q23&lt;0),"2handicap"," ")</f>
        <v> </v>
      </c>
      <c r="M9" s="195"/>
      <c r="N9" s="192"/>
      <c r="O9" s="248"/>
      <c r="P9" s="249" t="s">
        <v>119</v>
      </c>
      <c r="Q9" s="250" t="s">
        <v>120</v>
      </c>
      <c r="T9" t="str">
        <f>IF(AND(Y3&lt;0,Y23&lt;0),"2handicap"," ")</f>
        <v> </v>
      </c>
      <c r="U9" s="195"/>
      <c r="V9" s="192"/>
      <c r="W9" s="248"/>
      <c r="X9" s="249" t="s">
        <v>119</v>
      </c>
      <c r="Y9" s="250" t="s">
        <v>120</v>
      </c>
      <c r="AB9" t="str">
        <f>IF(AND(AG3&lt;0,AG23&lt;0),"2handicap"," ")</f>
        <v> </v>
      </c>
      <c r="AC9" s="195"/>
      <c r="AD9" s="192"/>
      <c r="AE9" s="248"/>
      <c r="AF9" s="249" t="s">
        <v>119</v>
      </c>
      <c r="AG9" s="250" t="s">
        <v>120</v>
      </c>
      <c r="AJ9" t="e">
        <f>IF(AND(AO3&lt;0,AO23&lt;0),"2handicap"," ")</f>
        <v>#N/A</v>
      </c>
      <c r="AK9" s="195"/>
      <c r="AL9" s="192"/>
      <c r="AM9" s="248"/>
      <c r="AN9" s="249" t="s">
        <v>119</v>
      </c>
      <c r="AO9" s="250" t="s">
        <v>120</v>
      </c>
      <c r="AS9" s="192"/>
      <c r="AT9" s="192"/>
      <c r="AU9" s="192"/>
      <c r="AV9" s="192"/>
      <c r="AW9" s="192"/>
    </row>
    <row r="10" spans="8:8" ht="15.0">
      <c r="E10" s="195"/>
      <c r="F10" s="192" t="str">
        <f>IF(H5&gt;38.8,"winnig",IF(H5&gt;33.9,"don’t choose",IF(H5&gt;21.6,"double",IF(H5&gt;22.8," win",IF(H5&gt;17," A win",IF(H5&gt;14,"double",IF(H5&gt;12.5," run hard",IF(H5&gt;8,"2 handicap","don’t choose"))))))))</f>
        <v> A win</v>
      </c>
      <c r="G10" s="251" t="s">
        <v>121</v>
      </c>
      <c r="H10" s="192" t="str">
        <f>Sheet2!T9</f>
        <v>U1.5</v>
      </c>
      <c r="I10" s="204" t="str">
        <f>Sheet2!U9</f>
        <v>Run</v>
      </c>
      <c r="M10" s="195"/>
      <c r="N10" s="192" t="str">
        <f>IF(P5&gt;38.8,"winnig",IF(P5&gt;33.9,"don’t choose",IF(P5&gt;21.6,"double",IF(P5&gt;22.8," win",IF(P5&gt;17," A win",IF(P5&gt;14,"double",IF(P5&gt;12.5," run hard",IF(P5&gt;8,"2 handicap","don’t choose"))))))))</f>
        <v>don’t choose</v>
      </c>
      <c r="O10" s="251" t="s">
        <v>121</v>
      </c>
      <c r="P10" s="192" t="str">
        <f>Sheet2!AS9</f>
        <v>Run</v>
      </c>
      <c r="Q10" s="204" t="str">
        <f>Sheet2!AT9</f>
        <v>O4.5</v>
      </c>
      <c r="U10" s="195"/>
      <c r="V10" s="192" t="str">
        <f>IF(X5&gt;38.8,"winnig",IF(X5&gt;33.9,"don’t choose",IF(X5&gt;21.6,"double",IF(X5&gt;22.8," win",IF(X5&gt;17," A win",IF(X5&gt;14,"double",IF(X5&gt;12.5," run hard",IF(X5&gt;8,"2 handicap","don’t choose"))))))))</f>
        <v>don’t choose</v>
      </c>
      <c r="W10" s="251" t="s">
        <v>121</v>
      </c>
      <c r="X10" s="192" t="str">
        <f>Sheet2!BR9</f>
        <v>Run</v>
      </c>
      <c r="Y10" s="204" t="str">
        <f>Sheet2!BS9</f>
        <v>O4.5</v>
      </c>
      <c r="AC10" s="195"/>
      <c r="AD10" s="192" t="str">
        <f>IF(AF5&gt;38.8,"winnig",IF(AF5&gt;33.9,"don’t choose",IF(AF5&gt;21.6,"double",IF(AF5&gt;22.8," win",IF(AF5&gt;17," A win",IF(AF5&gt;14,"double",IF(AF5&gt;12.5," run hard",IF(AF5&gt;8,"2 handicap","don’t choose"))))))))</f>
        <v> A win</v>
      </c>
      <c r="AE10" s="251" t="s">
        <v>121</v>
      </c>
      <c r="AF10" s="192" t="str">
        <f>Sheet2!CQ9</f>
        <v>U1.5</v>
      </c>
      <c r="AG10" s="204" t="str">
        <f>Sheet2!CR9</f>
        <v>Run</v>
      </c>
      <c r="AK10" s="195"/>
      <c r="AL10" s="192" t="e">
        <f>IF(AN5&gt;38.8,"winnig",IF(AN5&gt;33.9,"don’t choose",IF(AN5&gt;21.6,"double",IF(AN5&gt;22.8," win",IF(AN5&gt;17," A win",IF(AN5&gt;14,"double",IF(AN5&gt;12.5," run hard",IF(AN5&gt;8,"2 handicap","don’t choose"))))))))</f>
        <v>#N/A</v>
      </c>
      <c r="AM10" s="251" t="s">
        <v>121</v>
      </c>
      <c r="AN10" s="192" t="e">
        <f>Sheet2!DP9</f>
        <v>#N/A</v>
      </c>
      <c r="AO10" s="204" t="e">
        <f>Sheet2!DQ9</f>
        <v>#N/A</v>
      </c>
      <c r="AS10" s="192"/>
      <c r="AT10" s="192"/>
      <c r="AU10" s="196"/>
      <c r="AV10" s="192"/>
      <c r="AW10" s="192"/>
    </row>
    <row r="11" spans="8:8" ht="15.0">
      <c r="E11" s="195"/>
      <c r="F11" s="192" t="str">
        <f>IF(H6="Run please","don't play this","give it a trial")</f>
        <v>give it a trial</v>
      </c>
      <c r="G11" s="251" t="s">
        <v>122</v>
      </c>
      <c r="H11" s="192" t="str">
        <f>Sheet2!T10</f>
        <v>U3.5</v>
      </c>
      <c r="I11" s="204" t="str">
        <f>Sheet2!U10</f>
        <v>Run</v>
      </c>
      <c r="M11" s="195"/>
      <c r="N11" s="192" t="str">
        <f>IF(P6="Run please","don't play this","give it a trial")</f>
        <v>give it a trial</v>
      </c>
      <c r="O11" s="251" t="s">
        <v>122</v>
      </c>
      <c r="P11" s="192" t="str">
        <f>Sheet2!AS10</f>
        <v>Run</v>
      </c>
      <c r="Q11" s="204" t="str">
        <f>Sheet2!AT10</f>
        <v>O2.5</v>
      </c>
      <c r="U11" s="195"/>
      <c r="V11" s="192" t="str">
        <f>IF(X6="Run please","don't play this","give it a trial")</f>
        <v>give it a trial</v>
      </c>
      <c r="W11" s="251" t="s">
        <v>122</v>
      </c>
      <c r="X11" s="192" t="str">
        <f>Sheet2!BR10</f>
        <v>Run</v>
      </c>
      <c r="Y11" s="204" t="str">
        <f>Sheet2!BS10</f>
        <v>O2.5</v>
      </c>
      <c r="AC11" s="195"/>
      <c r="AD11" s="192" t="str">
        <f>IF(AF6="Run please","don't play this","give it a trial")</f>
        <v>give it a trial</v>
      </c>
      <c r="AE11" s="251" t="s">
        <v>122</v>
      </c>
      <c r="AF11" s="192" t="str">
        <f>Sheet2!CQ10</f>
        <v>U3.5</v>
      </c>
      <c r="AG11" s="204" t="str">
        <f>Sheet2!CR10</f>
        <v>Run</v>
      </c>
      <c r="AK11" s="195"/>
      <c r="AL11" s="192" t="e">
        <f>IF(AN6="Run please","don't play this","give it a trial")</f>
        <v>#N/A</v>
      </c>
      <c r="AM11" s="251" t="s">
        <v>122</v>
      </c>
      <c r="AN11" s="192" t="e">
        <f>Sheet2!DP10</f>
        <v>#N/A</v>
      </c>
      <c r="AO11" s="204" t="e">
        <f>Sheet2!DQ10</f>
        <v>#N/A</v>
      </c>
      <c r="AS11" s="192"/>
      <c r="AT11" s="192"/>
      <c r="AU11" s="196"/>
      <c r="AV11" s="192"/>
      <c r="AW11" s="192"/>
    </row>
    <row r="12" spans="8:8" ht="15.0">
      <c r="E12" s="195"/>
      <c r="F12" s="217" t="str">
        <f>IF(H5&lt;7,"don’t choose",IF(H5&lt;10.5,"2 handicap",IF(H5&lt;30,"double",IF(H5&lt;32.6,"win",IF(H5&lt;38.9,"don't choose",IF(H5&lt;42.1,"double ","awin!"))))))</f>
        <v>double</v>
      </c>
      <c r="G12" s="252" t="s">
        <v>123</v>
      </c>
      <c r="H12" s="217" t="str">
        <f>Sheet2!W11</f>
        <v>u4.5</v>
      </c>
      <c r="I12" s="219" t="str">
        <f>Sheet2!X11</f>
        <v>Run</v>
      </c>
      <c r="M12" s="195"/>
      <c r="N12" s="217" t="str">
        <f>IF(P5&lt;7,"don’t choose",IF(P5&lt;10.5,"2 handicap",IF(P5&lt;30,"double",IF(P5&lt;32.6,"win",IF(P5&lt;38.9,"don't choose",IF(P5&lt;42.1,"double ","awin!"))))))</f>
        <v>don’t choose</v>
      </c>
      <c r="O12" s="252" t="s">
        <v>123</v>
      </c>
      <c r="P12" s="217" t="str">
        <f>Sheet2!AV11</f>
        <v>Run</v>
      </c>
      <c r="Q12" s="219" t="str">
        <f>Sheet2!AW11</f>
        <v>O1.5</v>
      </c>
      <c r="U12" s="195"/>
      <c r="V12" s="217" t="str">
        <f>IF(X5&lt;7,"don’t choose",IF(X5&lt;10.5,"2 handicap",IF(X5&lt;30,"double",IF(X5&lt;32.6,"win",IF(X5&lt;38.9,"don't choose",IF(X5&lt;42.1,"double ","awin!"))))))</f>
        <v>don’t choose</v>
      </c>
      <c r="W12" s="252" t="s">
        <v>123</v>
      </c>
      <c r="X12" s="217" t="str">
        <f>Sheet2!BU11</f>
        <v>Run</v>
      </c>
      <c r="Y12" s="219" t="str">
        <f>Sheet2!BV11</f>
        <v>O1.5</v>
      </c>
      <c r="AC12" s="195"/>
      <c r="AD12" s="217" t="str">
        <f>IF(AF5&lt;7,"don’t choose",IF(AF5&lt;10.5,"2 handicap",IF(AF5&lt;30,"double",IF(AF5&lt;32.6,"win",IF(AF5&lt;38.9,"don't choose",IF(AF5&lt;42.1,"double ","awin!"))))))</f>
        <v>double</v>
      </c>
      <c r="AE12" s="252" t="s">
        <v>123</v>
      </c>
      <c r="AF12" s="217" t="str">
        <f>Sheet2!CT11</f>
        <v>u4.5</v>
      </c>
      <c r="AG12" s="219" t="str">
        <f>Sheet2!CU11</f>
        <v>Run</v>
      </c>
      <c r="AK12" s="195"/>
      <c r="AL12" s="217" t="e">
        <f>IF(AN5&lt;7,"don’t choose",IF(AN5&lt;10.5,"2 handicap",IF(AN5&lt;30,"double",IF(AN5&lt;32.6,"win",IF(AN5&lt;38.9,"don't choose",IF(AN5&lt;42.1,"double ","awin!"))))))</f>
        <v>#N/A</v>
      </c>
      <c r="AM12" s="252" t="s">
        <v>123</v>
      </c>
      <c r="AN12" s="217" t="e">
        <f>Sheet2!DS11</f>
        <v>#N/A</v>
      </c>
      <c r="AO12" s="219" t="e">
        <f>Sheet2!DT11</f>
        <v>#N/A</v>
      </c>
      <c r="AS12" s="192"/>
      <c r="AT12" s="192"/>
      <c r="AU12" s="196"/>
      <c r="AV12" s="192"/>
      <c r="AW12" s="192"/>
    </row>
    <row r="13" spans="8:8" ht="15.0">
      <c r="E13" s="195" t="s">
        <v>124</v>
      </c>
      <c r="F13" s="192" t="str">
        <f>IF(H8="medium",F12,IF(H8="low",F12,F10))</f>
        <v>double</v>
      </c>
      <c r="G13" t="s">
        <v>125</v>
      </c>
      <c r="H13" s="192" t="str">
        <f>IF(H8="medium",H11,IF(H8="high",H10,IF(H8="low",H12)))</f>
        <v>U3.5</v>
      </c>
      <c r="I13" s="204">
        <f>IF(I3&lt;0,-I3,I3)</f>
        <v>0.5434082815242001</v>
      </c>
      <c r="M13" s="195" t="s">
        <v>124</v>
      </c>
      <c r="N13" s="192" t="str">
        <f>IF(P8="medium",N12,IF(P8="low",N12,N10))</f>
        <v>don’t choose</v>
      </c>
      <c r="O13" t="s">
        <v>125</v>
      </c>
      <c r="P13" s="192" t="str">
        <f>IF(P8="medium",P11,IF(P8="high",P10,IF(P8="low",P12)))</f>
        <v>Run</v>
      </c>
      <c r="Q13" s="204">
        <f>IF(Q3&lt;0,-Q3,Q3)</f>
        <v>2.22680811148355</v>
      </c>
      <c r="U13" s="195" t="s">
        <v>124</v>
      </c>
      <c r="V13" s="192" t="str">
        <f>IF(X8="medium",V12,IF(X8="low",V12,V10))</f>
        <v>don’t choose</v>
      </c>
      <c r="W13" t="s">
        <v>125</v>
      </c>
      <c r="X13" s="192" t="str">
        <f>IF(X8="medium",X11,IF(X8="high",X10,IF(X8="low",X12)))</f>
        <v>Run</v>
      </c>
      <c r="Y13" s="204">
        <f>IF(Y3&lt;0,-Y3,Y3)</f>
        <v>2.22680811148355</v>
      </c>
      <c r="AC13" s="195" t="s">
        <v>124</v>
      </c>
      <c r="AD13" s="192" t="str">
        <f>IF(AF8="medium",AD12,IF(AF8="low",AD12,AD10))</f>
        <v>double</v>
      </c>
      <c r="AE13" t="s">
        <v>125</v>
      </c>
      <c r="AF13" s="192" t="str">
        <f>IF(AF8="medium",AF11,IF(AF8="high",AF10,IF(AF8="low",AF12)))</f>
        <v>U3.5</v>
      </c>
      <c r="AG13" s="204">
        <f>IF(AG3&lt;0,-AG3,AG3)</f>
        <v>0.5434082815242001</v>
      </c>
      <c r="AK13" s="195" t="s">
        <v>124</v>
      </c>
      <c r="AL13" s="192" t="e">
        <f>IF(AN8="medium",AL12,IF(AN8="low",AL12,AL10))</f>
        <v>#N/A</v>
      </c>
      <c r="AM13" t="s">
        <v>125</v>
      </c>
      <c r="AN13" s="192" t="e">
        <f>IF(AN8="medium",AN11,IF(AN8="high",AN10,IF(AN8="low",AN12)))</f>
        <v>#N/A</v>
      </c>
      <c r="AO13" s="204" t="e">
        <f>IF(AO3&lt;0,-AO3,AO3)</f>
        <v>#N/A</v>
      </c>
      <c r="AS13" s="192"/>
      <c r="AT13" s="192"/>
      <c r="AU13" s="192"/>
      <c r="AV13" s="192"/>
      <c r="AW13" s="192"/>
    </row>
    <row r="14" spans="8:8" ht="15.0">
      <c r="E14" s="195"/>
      <c r="F14" s="192"/>
      <c r="G14" s="253" t="s">
        <v>90</v>
      </c>
      <c r="H14" s="192" t="str">
        <f>Sheet2!W14</f>
        <v>run</v>
      </c>
      <c r="I14" s="204" t="str">
        <f>IF(H8="high",I10,IF(H8="medium",I11,IF(H8="low",I12)))</f>
        <v>Run</v>
      </c>
      <c r="M14" s="195"/>
      <c r="N14" s="192"/>
      <c r="O14" s="253" t="s">
        <v>90</v>
      </c>
      <c r="P14" s="192" t="str">
        <f>Sheet2!AV14</f>
        <v>run</v>
      </c>
      <c r="Q14" s="204" t="str">
        <f>IF(P8="high",Q10,IF(P8="medium",Q11,IF(P8="low",Q12)))</f>
        <v>O4.5</v>
      </c>
      <c r="U14" s="195"/>
      <c r="V14" s="192"/>
      <c r="W14" s="253" t="s">
        <v>90</v>
      </c>
      <c r="X14" s="192" t="str">
        <f>Sheet2!BU14</f>
        <v>run</v>
      </c>
      <c r="Y14" s="204" t="str">
        <f>IF(X8="high",Y10,IF(X8="medium",Y11,IF(X8="low",Y12)))</f>
        <v>O4.5</v>
      </c>
      <c r="AC14" s="195"/>
      <c r="AD14" s="192"/>
      <c r="AE14" s="253" t="s">
        <v>90</v>
      </c>
      <c r="AF14" s="192" t="str">
        <f>Sheet2!CT14</f>
        <v>run</v>
      </c>
      <c r="AG14" s="204" t="str">
        <f>IF(AF8="high",AG10,IF(AF8="medium",AG11,IF(AF8="low",AG12)))</f>
        <v>Run</v>
      </c>
      <c r="AK14" s="195"/>
      <c r="AL14" s="192"/>
      <c r="AM14" s="253" t="s">
        <v>90</v>
      </c>
      <c r="AN14" s="192" t="e">
        <f>Sheet2!DS14</f>
        <v>#N/A</v>
      </c>
      <c r="AO14" s="204" t="e">
        <f>IF(AN8="high",AO10,IF(AN8="medium",AO11,IF(AN8="low",AO12)))</f>
        <v>#N/A</v>
      </c>
      <c r="AS14" s="192"/>
      <c r="AT14" s="192"/>
      <c r="AU14" s="196"/>
      <c r="AV14" s="192"/>
      <c r="AW14" s="192"/>
    </row>
    <row r="15" spans="8:8" ht="15.0">
      <c r="E15" s="195"/>
      <c r="F15" s="192"/>
      <c r="G15" s="192"/>
      <c r="H15" s="192">
        <f>IF(H13="u0.5",0.5,IF(H13="u1.5",1.5,IF(H13="u2.5",2.5,IF(H13="u3.5",3.5,IF(H13="u4.5",4.5,0)))))</f>
        <v>3.5</v>
      </c>
      <c r="I15" s="204">
        <f>IF(I14="o0.5",0.5,IF(I14="o1.5",1.5,IF(I14="o2.5",2.5,IF(I14="o3.5",3.5,IF(I14="o4.5",4.5,0)))))</f>
        <v>0.0</v>
      </c>
      <c r="M15" s="195"/>
      <c r="N15" s="192"/>
      <c r="O15" s="192"/>
      <c r="P15" s="192">
        <f>IF(P13="u0.5",0.5,IF(P13="u1.5",1.5,IF(P13="u2.5",2.5,IF(P13="u3.5",3.5,IF(P13="u4.5",4.5,0)))))</f>
        <v>0.0</v>
      </c>
      <c r="Q15" s="204">
        <f>IF(Q14="o0.5",0.5,IF(Q14="o1.5",1.5,IF(Q14="o2.5",2.5,IF(Q14="o3.5",3.5,IF(Q14="o4.5",4.5,0)))))</f>
        <v>4.5</v>
      </c>
      <c r="U15" s="195"/>
      <c r="V15" s="192"/>
      <c r="W15" s="192"/>
      <c r="X15" s="192">
        <f>IF(X13="u0.5",0.5,IF(X13="u1.5",1.5,IF(X13="u2.5",2.5,IF(X13="u3.5",3.5,IF(X13="u4.5",4.5,0)))))</f>
        <v>0.0</v>
      </c>
      <c r="Y15" s="204">
        <f>IF(Y14="o0.5",0.5,IF(Y14="o1.5",1.5,IF(Y14="o2.5",2.5,IF(Y14="o3.5",3.5,IF(Y14="o4.5",4.5,0)))))</f>
        <v>4.5</v>
      </c>
      <c r="AC15" s="195"/>
      <c r="AD15" s="192"/>
      <c r="AE15" s="192"/>
      <c r="AF15" s="192">
        <f>IF(AF13="u0.5",0.5,IF(AF13="u1.5",1.5,IF(AF13="u2.5",2.5,IF(AF13="u3.5",3.5,IF(AF13="u4.5",4.5,0)))))</f>
        <v>3.5</v>
      </c>
      <c r="AG15" s="204">
        <f>IF(AG14="o0.5",0.5,IF(AG14="o1.5",1.5,IF(AG14="o2.5",2.5,IF(AG14="o3.5",3.5,IF(AG14="o4.5",4.5,0)))))</f>
        <v>0.0</v>
      </c>
      <c r="AK15" s="195"/>
      <c r="AL15" s="192"/>
      <c r="AM15" s="192"/>
      <c r="AN15" s="192" t="e">
        <f>IF(AN13="u0.5",0.5,IF(AN13="u1.5",1.5,IF(AN13="u2.5",2.5,IF(AN13="u3.5",3.5,IF(AN13="u4.5",4.5,0)))))</f>
        <v>#N/A</v>
      </c>
      <c r="AO15" s="204" t="e">
        <f>IF(AO14="o0.5",0.5,IF(AO14="o1.5",1.5,IF(AO14="o2.5",2.5,IF(AO14="o3.5",3.5,IF(AO14="o4.5",4.5,0)))))</f>
        <v>#N/A</v>
      </c>
      <c r="AS15" s="192"/>
      <c r="AT15" s="192"/>
      <c r="AU15" s="192"/>
      <c r="AV15" s="192"/>
      <c r="AW15" s="192"/>
    </row>
    <row r="16" spans="8:8" ht="15.0">
      <c r="E16" s="195"/>
      <c r="F16" s="192"/>
      <c r="G16" s="254" t="s">
        <v>126</v>
      </c>
      <c r="H16" s="192" t="str">
        <f>Sheet2!Q13</f>
        <v>don’t choose</v>
      </c>
      <c r="I16" s="204"/>
      <c r="M16" s="195"/>
      <c r="N16" s="192"/>
      <c r="O16" s="254" t="s">
        <v>126</v>
      </c>
      <c r="P16" s="192" t="str">
        <f>Sheet2!AP13</f>
        <v>don’t choose</v>
      </c>
      <c r="Q16" s="204"/>
      <c r="U16" s="195"/>
      <c r="V16" s="192"/>
      <c r="W16" s="254" t="s">
        <v>126</v>
      </c>
      <c r="X16" s="192" t="str">
        <f>Sheet2!BO13</f>
        <v>don’t choose</v>
      </c>
      <c r="Y16" s="204"/>
      <c r="AC16" s="195"/>
      <c r="AD16" s="192"/>
      <c r="AE16" s="254" t="s">
        <v>126</v>
      </c>
      <c r="AF16" s="192" t="str">
        <f>Sheet2!CN13</f>
        <v>don’t choose</v>
      </c>
      <c r="AG16" s="204"/>
      <c r="AK16" s="195"/>
      <c r="AL16" s="192"/>
      <c r="AM16" s="254" t="s">
        <v>126</v>
      </c>
      <c r="AN16" s="192" t="e">
        <f>Sheet2!DM13</f>
        <v>#N/A</v>
      </c>
      <c r="AO16" s="204"/>
      <c r="AS16" s="192"/>
      <c r="AT16" s="192"/>
      <c r="AU16" s="196"/>
      <c r="AV16" s="192"/>
      <c r="AW16" s="192"/>
    </row>
    <row r="17" spans="8:8" ht="15.0">
      <c r="E17" s="195"/>
      <c r="F17" s="192"/>
      <c r="G17" s="192"/>
      <c r="H17" s="192"/>
      <c r="I17" s="204"/>
      <c r="M17" s="195"/>
      <c r="N17" s="192"/>
      <c r="O17" s="192"/>
      <c r="P17" s="192"/>
      <c r="Q17" s="204"/>
      <c r="U17" s="195"/>
      <c r="V17" s="192"/>
      <c r="W17" s="192"/>
      <c r="X17" s="192"/>
      <c r="Y17" s="204"/>
      <c r="AC17" s="195"/>
      <c r="AD17" s="192"/>
      <c r="AE17" s="192"/>
      <c r="AF17" s="192"/>
      <c r="AG17" s="204"/>
      <c r="AK17" s="195"/>
      <c r="AL17" s="192"/>
      <c r="AM17" s="192"/>
      <c r="AN17" s="192"/>
      <c r="AO17" s="204"/>
      <c r="AS17" s="192"/>
      <c r="AT17" s="192"/>
      <c r="AU17" s="192"/>
      <c r="AV17" s="192"/>
      <c r="AW17" s="192"/>
    </row>
    <row r="18" spans="8:8" ht="15.0">
      <c r="E18" s="216"/>
      <c r="F18" s="217"/>
      <c r="G18" s="255" t="s">
        <v>127</v>
      </c>
      <c r="H18" s="217" t="str">
        <f>Sheet2!W17</f>
        <v>RUN</v>
      </c>
      <c r="I18" s="219"/>
      <c r="M18" s="216"/>
      <c r="N18" s="217"/>
      <c r="O18" s="255" t="s">
        <v>127</v>
      </c>
      <c r="P18" s="217" t="str">
        <f>Sheet2!AV17</f>
        <v>RUN</v>
      </c>
      <c r="Q18" s="219"/>
      <c r="U18" s="216"/>
      <c r="V18" s="217"/>
      <c r="W18" s="255" t="s">
        <v>127</v>
      </c>
      <c r="X18" s="217" t="str">
        <f>Sheet2!BU17</f>
        <v>RUN</v>
      </c>
      <c r="Y18" s="219"/>
      <c r="AC18" s="216"/>
      <c r="AD18" s="217"/>
      <c r="AE18" s="255" t="s">
        <v>127</v>
      </c>
      <c r="AF18" s="217" t="str">
        <f>Sheet2!CT17</f>
        <v>RUN</v>
      </c>
      <c r="AG18" s="219"/>
      <c r="AK18" s="216"/>
      <c r="AL18" s="217"/>
      <c r="AM18" s="255" t="s">
        <v>127</v>
      </c>
      <c r="AN18" s="217" t="e">
        <f>Sheet2!DS17</f>
        <v>#N/A</v>
      </c>
      <c r="AO18" s="219"/>
      <c r="AS18" s="192"/>
      <c r="AT18" s="192"/>
      <c r="AU18" s="192"/>
      <c r="AV18" s="192"/>
      <c r="AW18" s="192"/>
    </row>
    <row r="19" spans="8:8" ht="15.0">
      <c r="G19" t="str">
        <f>IF(AND(F38="both tabs",H19="low"),"2 handicap","")</f>
        <v/>
      </c>
      <c r="H19" t="str">
        <f>IF(I19&gt;0.78,"HIGH",IF(AND(I19&lt;0.78,I19&gt;0.3),"MEDIUM",IF(I19&gt;0,"LOW",IF(I19&lt;-0.78,"HIGH",IF(AND(I19&gt;-0.78,I19&lt;-0.3),"MEDIUM",IF(I19&lt;0,"LOW"))))))</f>
        <v>MEDIUM</v>
      </c>
      <c r="I19">
        <f>MIN(I3,I23)</f>
        <v>0.5434082815242001</v>
      </c>
      <c r="O19" t="str">
        <f>IF(AND(N38="both tabs",P19="low"),"2 handicap","")</f>
        <v/>
      </c>
      <c r="P19" t="str">
        <f>IF(Q19&gt;0.78,"HIGH",IF(AND(Q19&lt;0.78,Q19&gt;0.3),"MEDIUM",IF(Q19&gt;0,"LOW",IF(Q19&lt;-0.78,"HIGH",IF(AND(Q19&gt;-0.78,Q19&lt;-0.3),"MEDIUM",IF(Q19&lt;0,"LOW"))))))</f>
        <v>MEDIUM</v>
      </c>
      <c r="Q19">
        <f>MIN(Q3,Q23)</f>
        <v>0.562019458753443</v>
      </c>
      <c r="W19" t="str">
        <f>IF(AND(V38="both tabs",X19="low"),"2 handicap","")</f>
        <v/>
      </c>
      <c r="X19" t="str">
        <f>IF(Y19&gt;0.78,"HIGH",IF(AND(Y19&lt;0.78,Y19&gt;0.3),"MEDIUM",IF(Y19&gt;0,"LOW",IF(Y19&lt;-0.78,"HIGH",IF(AND(Y19&gt;-0.78,Y19&lt;-0.3),"MEDIUM",IF(Y19&lt;0,"LOW"))))))</f>
        <v>MEDIUM</v>
      </c>
      <c r="Y19">
        <f>MIN(Y3,Y23)</f>
        <v>0.562019458753443</v>
      </c>
      <c r="AE19" t="str">
        <f>IF(AND(AD38="both tabs",AF19="low"),"2 handicap","")</f>
        <v/>
      </c>
      <c r="AF19" t="str">
        <f>IF(AG19&gt;0.78,"HIGH",IF(AND(AG19&lt;0.78,AG19&gt;0.3),"MEDIUM",IF(AG19&gt;0,"LOW",IF(AG19&lt;-0.78,"HIGH",IF(AND(AG19&gt;-0.78,AG19&lt;-0.3),"MEDIUM",IF(AG19&lt;0,"LOW"))))))</f>
        <v>MEDIUM</v>
      </c>
      <c r="AG19">
        <f>MIN(AG3,AG23)</f>
        <v>0.5434082815242001</v>
      </c>
      <c r="AM19" t="e">
        <f>IF(AND(AL38="both tabs",AN19="low"),"2 handicap","")</f>
        <v>#N/A</v>
      </c>
      <c r="AN19" t="e">
        <f>IF(AO19&gt;0.78,"HIGH",IF(AND(AO19&lt;0.78,AO19&gt;0.3),"MEDIUM",IF(AO19&gt;0,"LOW",IF(AO19&lt;-0.78,"HIGH",IF(AND(AO19&gt;-0.78,AO19&lt;-0.3),"MEDIUM",IF(AO19&lt;0,"LOW"))))))</f>
        <v>#N/A</v>
      </c>
      <c r="AO19" t="e">
        <f>MIN(AO3,AO23)</f>
        <v>#N/A</v>
      </c>
    </row>
    <row r="20" spans="8:8" ht="23.25" customHeight="1">
      <c r="E20">
        <f>H2/(H2+H22)*100</f>
        <v>84.66201222692473</v>
      </c>
      <c r="F20" s="256" t="str">
        <f>IF(AND(G20&lt;0,G20&gt;-0.7),"Best tab1",IF(G20&gt;0,"best tab 1","best tab 2"))</f>
        <v>best tab 1</v>
      </c>
      <c r="G20" s="257">
        <f>IF(G5&lt;0,-G5,G5)-IF(G25&lt;0,-G25,G25)</f>
        <v>0.42481115430577</v>
      </c>
      <c r="H20" s="258" t="str">
        <f>IF(AND(G5&gt;0,G25&gt;0),"Best TAB 2 handicap Home",IF(AND(G5&gt;0,G25&lt;0),"Best TAB HOME",IF(AND(G5&lt;0,G25&gt;0),"Best TAB AWAY","BestTAB2handicapAWAY")))</f>
        <v>Best TAB HOME</v>
      </c>
      <c r="M20">
        <f>P2/(P2+P22)*100</f>
        <v>8.31456434487813</v>
      </c>
      <c r="N20" s="256" t="str">
        <f>IF(AND(O20&lt;0,O20&gt;-0.7),"Best tab1",IF(O20&gt;0,"best tab 1","best tab 2"))</f>
        <v>Best tab1</v>
      </c>
      <c r="O20" s="257">
        <f>IF(O5&lt;0,-O5,O5)-IF(O25&lt;0,-O25,O25)</f>
        <v>-0.4493722890945569</v>
      </c>
      <c r="P20" s="258" t="str">
        <f>IF(AND(O5&gt;0,O25&gt;0),"Best TAB 2 handicap Home",IF(AND(O5&gt;0,O25&lt;0),"Best TAB HOME",IF(AND(O5&lt;0,O25&gt;0),"Best TAB AWAY","BestTAB2handicapAWAY")))</f>
        <v>Best TAB AWAY</v>
      </c>
      <c r="U20">
        <f>X2/(X2+X22)*100</f>
        <v>8.31456434487813</v>
      </c>
      <c r="V20" s="256" t="str">
        <f>IF(AND(W20&lt;0,W20&gt;-0.7),"Best tab1",IF(W20&gt;0,"best tab 1","best tab 2"))</f>
        <v>Best tab1</v>
      </c>
      <c r="W20" s="257">
        <f>IF(W5&lt;0,-W5,W5)-IF(W25&lt;0,-W25,W25)</f>
        <v>-0.4493722890945569</v>
      </c>
      <c r="X20" s="258" t="str">
        <f>IF(AND(W5&gt;0,W25&gt;0),"Best TAB 2 handicap Home",IF(AND(W5&gt;0,W25&lt;0),"Best TAB HOME",IF(AND(W5&lt;0,W25&gt;0),"Best TAB AWAY","BestTAB2handicapAWAY")))</f>
        <v>Best TAB AWAY</v>
      </c>
      <c r="AC20">
        <f>AF2/(AF2+AF22)*100</f>
        <v>84.66201222692473</v>
      </c>
      <c r="AD20" s="256" t="str">
        <f>IF(AND(AE20&lt;0,AE20&gt;-0.7),"Best tab1",IF(AE20&gt;0,"best tab 1","best tab 2"))</f>
        <v>best tab 1</v>
      </c>
      <c r="AE20" s="257">
        <f>IF(AE5&lt;0,-AE5,AE5)-IF(AE25&lt;0,-AE25,AE25)</f>
        <v>0.42481115430577</v>
      </c>
      <c r="AF20" s="258" t="str">
        <f>IF(AND(AE5&gt;0,AE25&gt;0),"Best TAB 2 handicap Home",IF(AND(AE5&gt;0,AE25&lt;0),"Best TAB HOME",IF(AND(AE5&lt;0,AE25&gt;0),"Best TAB AWAY","BestTAB2handicapAWAY")))</f>
        <v>Best TAB HOME</v>
      </c>
      <c r="AK20" t="e">
        <f>AN2/(AN2+AN22)*100</f>
        <v>#N/A</v>
      </c>
      <c r="AL20" s="256" t="e">
        <f>IF(AND(AM20&lt;0,AM20&gt;-0.7),"Best tab1",IF(AM20&gt;0,"best tab 1","best tab 2"))</f>
        <v>#N/A</v>
      </c>
      <c r="AM20" s="257" t="e">
        <f>IF(AM5&lt;0,-AM5,AM5)-IF(AM25&lt;0,-AM25,AM25)</f>
        <v>#N/A</v>
      </c>
      <c r="AN20" s="258" t="e">
        <f>IF(AND(AM5&gt;0,AM25&gt;0),"Best TAB 2 handicap Home",IF(AND(AM5&gt;0,AM25&lt;0),"Best TAB HOME",IF(AND(AM5&lt;0,AM25&gt;0),"Best TAB AWAY","BestTAB2handicapAWAY")))</f>
        <v>#N/A</v>
      </c>
    </row>
    <row r="21" spans="8:8" ht="15.75" customHeight="1">
      <c r="E21">
        <f>AVERAGE(H2,H22)*100</f>
        <v>30.6395335277005</v>
      </c>
      <c r="F21">
        <f>IF(H2&lt;H22,H2/(H2+H22)*100,H22/(H22+H2)*100)</f>
        <v>15.337987773075271</v>
      </c>
      <c r="G21">
        <v>1.0</v>
      </c>
      <c r="M21">
        <f>AVERAGE(P2,P22)*100</f>
        <v>26.950197474986854</v>
      </c>
      <c r="N21">
        <f>IF(P2&lt;P22,P2/(P2+P22)*100,P22/(P22+P2)*100)</f>
        <v>8.31456434487813</v>
      </c>
      <c r="O21">
        <v>2.0</v>
      </c>
      <c r="U21">
        <f>AVERAGE(X2,X22)*100</f>
        <v>26.950197474986854</v>
      </c>
      <c r="V21">
        <f>IF(X2&lt;X22,X2/(X2+X22)*100,X22/(X22+X2)*100)</f>
        <v>8.31456434487813</v>
      </c>
      <c r="W21">
        <v>3.0</v>
      </c>
      <c r="AC21">
        <f>AVERAGE(AF2,AF22)*100</f>
        <v>30.6395335277005</v>
      </c>
      <c r="AD21">
        <f>IF(AF2&lt;AF22,AF2/(AF2+AF22)*100,AF22/(AF22+AF2)*100)</f>
        <v>15.337987773075271</v>
      </c>
      <c r="AE21">
        <v>4.0</v>
      </c>
      <c r="AK21" t="e">
        <f>AVERAGE(AN2,AN22)*100</f>
        <v>#N/A</v>
      </c>
      <c r="AL21" t="e">
        <f>IF(AN2&lt;AN22,AN2/(AN2+AN22)*100,AN22/(AN22+AN2)*100)</f>
        <v>#N/A</v>
      </c>
      <c r="AM21">
        <v>5.0</v>
      </c>
    </row>
    <row r="22" spans="8:8" ht="15.75" customHeight="1">
      <c r="E22" s="241" t="str">
        <f>Sheet2!E42</f>
        <v> Sporting JAX </v>
      </c>
      <c r="F22" s="193"/>
      <c r="G22" s="194"/>
      <c r="H22" s="194">
        <f>IF(G25&lt;0,-G25,G25)</f>
        <v>0.09398975812412003</v>
      </c>
      <c r="I22" s="199">
        <f>I27/(G26+I27)</f>
        <v>0.03984233028481929</v>
      </c>
      <c r="M22" s="241" t="str">
        <f>M4</f>
        <v> Monterey Bay </v>
      </c>
      <c r="N22" s="193"/>
      <c r="O22" s="194"/>
      <c r="P22" s="194">
        <f>IF(O25&lt;0,-O25,O25)</f>
        <v>0.494188119297147</v>
      </c>
      <c r="Q22" s="199">
        <f>Q27/(O26+Q27)</f>
        <v>0.3187496715467903</v>
      </c>
      <c r="U22" s="241" t="str">
        <f>U4</f>
        <v> Monterey Bay </v>
      </c>
      <c r="V22" s="193"/>
      <c r="W22" s="194"/>
      <c r="X22" s="194">
        <f>IF(W25&lt;0,-W25,W25)</f>
        <v>0.494188119297147</v>
      </c>
      <c r="Y22" s="199">
        <f>Y27/(W26+Y27)</f>
        <v>0.3187496715467903</v>
      </c>
      <c r="AC22" s="241" t="str">
        <f>Sheet2!CD4</f>
        <v> Sporting JAX </v>
      </c>
      <c r="AD22" s="193"/>
      <c r="AE22" s="194"/>
      <c r="AF22" s="194">
        <f>IF(AE25&lt;0,-AE25,AE25)</f>
        <v>0.09398975812412003</v>
      </c>
      <c r="AG22" s="199">
        <f>AG27/(AE26+AG27)</f>
        <v>0.03984233028481929</v>
      </c>
      <c r="AK22" s="241" t="str">
        <f>AK4</f>
        <v> Cork City </v>
      </c>
      <c r="AL22" s="193"/>
      <c r="AM22" s="194"/>
      <c r="AN22" s="194" t="e">
        <f>IF(AM25&lt;0,-AM25,AM25)</f>
        <v>#N/A</v>
      </c>
      <c r="AO22" s="199" t="e">
        <f>AO27/(AM26+AO27)</f>
        <v>#N/A</v>
      </c>
    </row>
    <row r="23" spans="8:8" ht="15.75" customHeight="1">
      <c r="E23" s="242" t="s">
        <v>111</v>
      </c>
      <c r="F23" s="205" t="s">
        <v>112</v>
      </c>
      <c r="G23" s="243">
        <f>G3</f>
        <v>1.3668</v>
      </c>
      <c r="H23" s="192" t="str">
        <f>IF(G23&gt;1.2,"High scoring league",IF(G23&lt;1,"low scoring","medium"))</f>
        <v>High scoring league</v>
      </c>
      <c r="I23" s="204">
        <f>G26-I27</f>
        <v>2.17106317659174</v>
      </c>
      <c r="K23">
        <f>I33/(G26+I33)*100</f>
        <v>48.94063009436855</v>
      </c>
      <c r="M23" s="242" t="s">
        <v>111</v>
      </c>
      <c r="N23" s="205" t="s">
        <v>112</v>
      </c>
      <c r="O23" s="243">
        <f>O3</f>
        <v>1.3752</v>
      </c>
      <c r="P23" s="192" t="str">
        <f>IF(O23&gt;1.2,"High scoring league",IF(O23&lt;1,"low scoring","medium"))</f>
        <v>High scoring league</v>
      </c>
      <c r="Q23" s="204">
        <f>O26-Q27</f>
        <v>0.562019458753443</v>
      </c>
      <c r="S23">
        <f>Q33/(O26+Q33)*100</f>
        <v>34.73056907165645</v>
      </c>
      <c r="U23" s="242" t="s">
        <v>111</v>
      </c>
      <c r="V23" s="205" t="s">
        <v>112</v>
      </c>
      <c r="W23" s="243">
        <f>Sheet1!$E$45</f>
        <v>1.3668</v>
      </c>
      <c r="X23" s="192" t="str">
        <f>IF(W23&gt;1.2,"High scoring league",IF(W23&lt;1,"low scoring","medium"))</f>
        <v>High scoring league</v>
      </c>
      <c r="Y23" s="204">
        <f>W26-Y27</f>
        <v>0.562019458753443</v>
      </c>
      <c r="AA23">
        <f>Y33/(W26+Y33)*100</f>
        <v>34.73056907165645</v>
      </c>
      <c r="AC23" s="242" t="s">
        <v>111</v>
      </c>
      <c r="AD23" s="205" t="s">
        <v>112</v>
      </c>
      <c r="AE23" s="243">
        <f>Sheet1!$E$45</f>
        <v>1.3668</v>
      </c>
      <c r="AF23" s="192" t="str">
        <f>IF(AE23&gt;1.2,"High scoring league",IF(AE23&lt;1,"low scoring","medium"))</f>
        <v>High scoring league</v>
      </c>
      <c r="AG23" s="204">
        <f>AE26-AG27</f>
        <v>2.17106317659174</v>
      </c>
      <c r="AH23" t="s">
        <v>113</v>
      </c>
      <c r="AI23">
        <f>AG33/(AE26+AG33)*100</f>
        <v>48.94063009436855</v>
      </c>
      <c r="AK23" s="242" t="s">
        <v>111</v>
      </c>
      <c r="AL23" s="205" t="s">
        <v>112</v>
      </c>
      <c r="AM23" s="243">
        <f>Sheet1!$E$45</f>
        <v>1.3668</v>
      </c>
      <c r="AN23" s="192" t="str">
        <f>IF(AM23&gt;1.2,"High scoring league",IF(AM23&lt;1,"low scoring","medium"))</f>
        <v>High scoring league</v>
      </c>
      <c r="AO23" s="204" t="e">
        <f>AM26-AO27</f>
        <v>#N/A</v>
      </c>
      <c r="AP23" t="s">
        <v>113</v>
      </c>
      <c r="AQ23" t="e">
        <f>AO33/(AM26+AO33)*100</f>
        <v>#N/A</v>
      </c>
    </row>
    <row r="24" spans="8:8" ht="15.75" customHeight="1">
      <c r="E24" s="244" t="str">
        <f>Sheet2!G42</f>
        <v> Monterey Bay </v>
      </c>
      <c r="F24" s="205" t="s">
        <v>114</v>
      </c>
      <c r="G24" s="192">
        <f>Sheet2!$C$14</f>
        <v>2.2180580556538043</v>
      </c>
      <c r="H24" s="192">
        <f>Sheet2!$D$14</f>
        <v>2.3120478137779177</v>
      </c>
      <c r="I24" s="204">
        <f>SUM(H24,G24,I25)</f>
        <v>4.6240956275558425</v>
      </c>
      <c r="M24" s="244" t="str">
        <f>M2</f>
        <v> Sporting JAX </v>
      </c>
      <c r="N24" s="205" t="s">
        <v>114</v>
      </c>
      <c r="O24" s="192">
        <f>Sheet2!$C$15</f>
        <v>1.3033016376991597</v>
      </c>
      <c r="P24" s="192">
        <f>Sheet2!$D$15</f>
        <v>0.8091135184020133</v>
      </c>
      <c r="Q24" s="204">
        <f>SUM(P24,O24,Q25)</f>
        <v>2.6066032753983204</v>
      </c>
      <c r="U24" s="244" t="str">
        <f>U2</f>
        <v> Sporting JAX </v>
      </c>
      <c r="V24" s="205" t="s">
        <v>114</v>
      </c>
      <c r="W24" s="192">
        <f>Sheet2!$C$16</f>
        <v>1.3033016376991597</v>
      </c>
      <c r="X24" s="192">
        <f>Sheet2!$D$16</f>
        <v>0.8091135184020133</v>
      </c>
      <c r="Y24" s="204">
        <f>SUM(X24,W24,Y25)</f>
        <v>2.6066032753983204</v>
      </c>
      <c r="AC24" s="244" t="str">
        <f>Sheet2!CB4</f>
        <v> Monterey Bay </v>
      </c>
      <c r="AD24" s="205" t="s">
        <v>114</v>
      </c>
      <c r="AE24" s="192">
        <f>Sheet2!$C$17</f>
        <v>2.2180580556538043</v>
      </c>
      <c r="AF24" s="192">
        <f>Sheet2!$D$17</f>
        <v>2.3120478137779177</v>
      </c>
      <c r="AG24" s="204">
        <f>SUM(AF24,AE24,AG25)</f>
        <v>4.6240956275558425</v>
      </c>
      <c r="AK24" s="244" t="str">
        <f>AK2</f>
        <v> Galway Utd </v>
      </c>
      <c r="AL24" s="205" t="s">
        <v>114</v>
      </c>
      <c r="AM24" s="192" t="e">
        <f>Sheet2!$C$18</f>
        <v>#N/A</v>
      </c>
      <c r="AN24" s="192" t="e">
        <f>Sheet2!$D$18</f>
        <v>#N/A</v>
      </c>
      <c r="AO24" s="204" t="e">
        <f>SUM(AN24,AM24,AO25)</f>
        <v>#N/A</v>
      </c>
    </row>
    <row r="25" spans="8:8" ht="15.75" customHeight="1">
      <c r="C25" s="220" t="str">
        <f>IF(OR(H26="run please",H6="run please"),"don't play"," ")</f>
        <v> </v>
      </c>
      <c r="D25">
        <f>100-E20</f>
        <v>15.337987773075298</v>
      </c>
      <c r="E25" s="195"/>
      <c r="F25" s="205" t="s">
        <v>91</v>
      </c>
      <c r="G25" s="192">
        <f>Sheet2!T41</f>
        <v>-0.09398975812412003</v>
      </c>
      <c r="H25" s="192">
        <f>(I25/I24)*100</f>
        <v>2.0326084426978035</v>
      </c>
      <c r="I25" s="204">
        <f>IF(G25&gt;0,G25,-G25)</f>
        <v>0.09398975812412003</v>
      </c>
      <c r="K25" s="220" t="str">
        <f>IF(OR(P26="run please",P6="run please"),"don't play"," ")</f>
        <v> </v>
      </c>
      <c r="L25">
        <f>100-M20</f>
        <v>91.68543565512186</v>
      </c>
      <c r="M25" s="195"/>
      <c r="N25" s="205" t="s">
        <v>91</v>
      </c>
      <c r="O25" s="192">
        <f>Sheet2!AS41</f>
        <v>0.494188119297147</v>
      </c>
      <c r="P25" s="192">
        <f>(Q25/Q24)*100</f>
        <v>18.959084566546824</v>
      </c>
      <c r="Q25" s="204">
        <f>IF(O25&gt;0,O25,-O25)</f>
        <v>0.494188119297147</v>
      </c>
      <c r="S25" s="220" t="str">
        <f>IF(OR(X26="run please",X6="run please"),"don't play"," ")</f>
        <v> </v>
      </c>
      <c r="T25">
        <f>100-U20</f>
        <v>91.68543565512186</v>
      </c>
      <c r="U25" s="195"/>
      <c r="V25" s="205" t="s">
        <v>91</v>
      </c>
      <c r="W25" s="192">
        <f>Sheet2!BR41</f>
        <v>0.494188119297147</v>
      </c>
      <c r="X25" s="192">
        <f>(Y25/Y24)*100</f>
        <v>18.959084566546824</v>
      </c>
      <c r="Y25" s="204">
        <f>IF(W25&gt;0,W25,-W25)</f>
        <v>0.494188119297147</v>
      </c>
      <c r="AA25" s="220" t="str">
        <f>IF(OR(AF26="run please",AF6="run please"),"don't play"," ")</f>
        <v> </v>
      </c>
      <c r="AB25">
        <f>100-AC20</f>
        <v>15.337987773075298</v>
      </c>
      <c r="AC25" s="195"/>
      <c r="AD25" s="205" t="s">
        <v>91</v>
      </c>
      <c r="AE25" s="192">
        <f>Sheet2!CQ41</f>
        <v>-0.09398975812412003</v>
      </c>
      <c r="AF25" s="192">
        <f>(AG25/AG24)*100</f>
        <v>2.0326084426978035</v>
      </c>
      <c r="AG25" s="204">
        <f>IF(AE25&gt;0,AE25,-AE25)</f>
        <v>0.09398975812412003</v>
      </c>
      <c r="AI25" s="220" t="e">
        <f>IF(OR(AN26="run please",AN6="run please"),"don't play"," ")</f>
        <v>#N/A</v>
      </c>
      <c r="AJ25" t="e">
        <f>100-AK20</f>
        <v>#N/A</v>
      </c>
      <c r="AK25" s="195"/>
      <c r="AL25" s="205" t="s">
        <v>91</v>
      </c>
      <c r="AM25" s="192" t="e">
        <f>Sheet2!DP41</f>
        <v>#N/A</v>
      </c>
      <c r="AN25" s="192" t="e">
        <f>(AO25/AO24)*100</f>
        <v>#N/A</v>
      </c>
      <c r="AO25" s="204" t="e">
        <f>IF(AM25&gt;0,AM25,-AM25)</f>
        <v>#N/A</v>
      </c>
    </row>
    <row r="26" spans="8:8" ht="15.75" customHeight="1">
      <c r="C26" s="221" t="s">
        <v>128</v>
      </c>
      <c r="D26" s="221" t="str">
        <f>IF(AND(E21&gt;78,D25&gt;68)," WIN",IF(AND(E21&gt;78,D25&gt;50),"2HANDICAP","CHECK OTHER"))</f>
        <v>CHECK OTHER</v>
      </c>
      <c r="E26" s="195"/>
      <c r="F26" s="245" t="s">
        <v>115</v>
      </c>
      <c r="G26" s="217">
        <f>Sheet2!T40</f>
        <v>2.265052934715861</v>
      </c>
      <c r="H26" s="217" t="str">
        <f>IF(H25&lt;21.5,"2handicap",IF(H25&lt;26,"Double C.",IF(H25&lt;32,"Run please","A win")))</f>
        <v>2handicap</v>
      </c>
      <c r="I26" s="219" t="str">
        <f>IF(I23&lt;0.35,"run away",IF(I23&lt;0.61,"double"," win"))</f>
        <v> win</v>
      </c>
      <c r="K26" s="221" t="s">
        <v>128</v>
      </c>
      <c r="L26" s="221" t="str">
        <f>IF(AND(M21&gt;78,L25&gt;68)," WIN",IF(AND(M21&gt;78,L25&gt;50),"2HANDICAP","CHECK OTHER"))</f>
        <v>CHECK OTHER</v>
      </c>
      <c r="M26" s="195"/>
      <c r="N26" s="245" t="s">
        <v>115</v>
      </c>
      <c r="O26" s="217">
        <f>Sheet2!AS40</f>
        <v>1.0562075780505866</v>
      </c>
      <c r="P26" s="217" t="str">
        <f>IF(P25&lt;21.5,"2handicap",IF(P25&lt;26,"Double C.",IF(P25&lt;32,"Run please","A win")))</f>
        <v>2handicap</v>
      </c>
      <c r="Q26" s="219" t="str">
        <f>IF(Q23&lt;0.35,"run away",IF(Q23&lt;0.61,"double"," win"))</f>
        <v>double</v>
      </c>
      <c r="S26" s="221" t="s">
        <v>128</v>
      </c>
      <c r="T26" s="221" t="str">
        <f>IF(AND(U21&gt;78,T25&gt;68)," WIN",IF(AND(U21&gt;78,T25&gt;50),"2HANDICAP","CHECK OTHER"))</f>
        <v>CHECK OTHER</v>
      </c>
      <c r="U26" s="195"/>
      <c r="V26" s="245" t="s">
        <v>115</v>
      </c>
      <c r="W26" s="217">
        <f>Sheet2!BR40</f>
        <v>1.0562075780505866</v>
      </c>
      <c r="X26" s="217" t="str">
        <f>IF(X25&lt;21.5,"2handicap",IF(X25&lt;26,"Double C.",IF(X25&lt;32,"Run please","A win")))</f>
        <v>2handicap</v>
      </c>
      <c r="Y26" s="219" t="str">
        <f>IF(Y23&lt;0.35,"run away",IF(Y23&lt;0.61,"double"," win"))</f>
        <v>double</v>
      </c>
      <c r="AA26" s="221" t="s">
        <v>128</v>
      </c>
      <c r="AB26" s="221" t="str">
        <f>IF(AND(AC21&gt;78,AB25&gt;68)," WIN",IF(AND(AC21&gt;78,AB25&gt;50),"2HANDICAP","CHECK OTHER"))</f>
        <v>CHECK OTHER</v>
      </c>
      <c r="AC26" s="195"/>
      <c r="AD26" s="245" t="s">
        <v>115</v>
      </c>
      <c r="AE26" s="217">
        <f>Sheet2!CQ40</f>
        <v>2.265052934715861</v>
      </c>
      <c r="AF26" s="217" t="str">
        <f>IF(AF25&lt;21.5,"2handicap",IF(AF25&lt;26,"Double C.",IF(AF25&lt;32,"Run please","A win")))</f>
        <v>2handicap</v>
      </c>
      <c r="AG26" s="219" t="str">
        <f>IF(AG23&lt;0.35,"run away",IF(AG23&lt;0.61,"double"," win"))</f>
        <v> win</v>
      </c>
      <c r="AH26" t="s">
        <v>116</v>
      </c>
      <c r="AI26" s="221" t="s">
        <v>128</v>
      </c>
      <c r="AJ26" s="221" t="e">
        <f>IF(AND(AK21&gt;78,AJ25&gt;68)," WIN",IF(AND(AK21&gt;78,AJ25&gt;50),"2HANDICAP","CHECK OTHER"))</f>
        <v>#N/A</v>
      </c>
      <c r="AK26" s="195"/>
      <c r="AL26" s="245" t="s">
        <v>115</v>
      </c>
      <c r="AM26" s="217" t="e">
        <f>Sheet2!DP40</f>
        <v>#N/A</v>
      </c>
      <c r="AN26" s="217" t="e">
        <f>IF(AN25&lt;21.5,"2handicap",IF(AN25&lt;26,"Double C.",IF(AN25&lt;32,"Run please","A win")))</f>
        <v>#N/A</v>
      </c>
      <c r="AO26" s="219" t="e">
        <f>IF(AO23&lt;0.35,"run away",IF(AO23&lt;0.61,"double"," win"))</f>
        <v>#N/A</v>
      </c>
      <c r="AP26" t="s">
        <v>116</v>
      </c>
    </row>
    <row r="27" spans="8:8" ht="15.75" customHeight="1">
      <c r="C27" s="221" t="s">
        <v>129</v>
      </c>
      <c r="D27" s="221" t="str">
        <f>IF(AND(E21&gt;80,E27&gt;20,E27&lt;40),"2Handicap",IF(AND(E21&gt;80,E27&gt;0,E27&lt;8),"Double chance","CHECK ANOTHER"))</f>
        <v>CHECK ANOTHER</v>
      </c>
      <c r="E27" s="195">
        <f>E20-F21</f>
        <v>69.3240244538494</v>
      </c>
      <c r="F27" s="192"/>
      <c r="G27" s="192"/>
      <c r="H27" s="192"/>
      <c r="I27" s="204">
        <f>IF(G25&lt;0,-G25,G25)</f>
        <v>0.09398975812412003</v>
      </c>
      <c r="K27" s="221" t="s">
        <v>129</v>
      </c>
      <c r="L27" s="221" t="str">
        <f>IF(AND(M21&gt;80,M27&gt;20,M27&lt;40),"2Handicap",IF(AND(M21&gt;80,M27&gt;0,M27&lt;8),"Double chance","CHECK ANOTHER"))</f>
        <v>CHECK ANOTHER</v>
      </c>
      <c r="M27" s="195">
        <f>M20-N21</f>
        <v>0.0</v>
      </c>
      <c r="N27" s="192"/>
      <c r="O27" s="192"/>
      <c r="P27" s="192"/>
      <c r="Q27" s="204">
        <f>IF(O25&lt;0,-O25,O25)</f>
        <v>0.494188119297147</v>
      </c>
      <c r="S27" s="221" t="s">
        <v>129</v>
      </c>
      <c r="T27" s="221" t="str">
        <f>IF(AND(U21&gt;80,U27&gt;20,U27&lt;40),"2Handicap",IF(AND(U21&gt;80,U27&gt;0,U27&lt;8),"Double chance","CHECK ANOTHER"))</f>
        <v>CHECK ANOTHER</v>
      </c>
      <c r="U27" s="195">
        <f>U20-V21</f>
        <v>0.0</v>
      </c>
      <c r="V27" s="192"/>
      <c r="W27" s="192"/>
      <c r="X27" s="192"/>
      <c r="Y27" s="204">
        <f>IF(W25&lt;0,-W25,W25)</f>
        <v>0.494188119297147</v>
      </c>
      <c r="AA27" s="221" t="s">
        <v>129</v>
      </c>
      <c r="AB27" s="221" t="str">
        <f>IF(AND(AC21&gt;80,AC27&gt;20,AC27&lt;40),"2Handicap",IF(AND(AC21&gt;80,AC27&gt;0,AC27&lt;8),"Double chance","CHECK ANOTHER"))</f>
        <v>CHECK ANOTHER</v>
      </c>
      <c r="AC27" s="195">
        <f>AC20-AD21</f>
        <v>69.3240244538494</v>
      </c>
      <c r="AD27" s="192"/>
      <c r="AE27" s="192"/>
      <c r="AF27" s="192"/>
      <c r="AG27" s="204">
        <f>IF(AE25&lt;0,-AE25,AE25)</f>
        <v>0.09398975812412003</v>
      </c>
      <c r="AI27" s="221" t="s">
        <v>129</v>
      </c>
      <c r="AJ27" s="221" t="e">
        <f>IF(AND(AK21&gt;80,AK27&gt;20,AK27&lt;40),"2Handicap",IF(AND(AK21&gt;80,AK27&gt;0,AK27&lt;8),"Double chance","CHECK ANOTHER"))</f>
        <v>#N/A</v>
      </c>
      <c r="AK27" s="195" t="e">
        <f>AK20-AL21</f>
        <v>#N/A</v>
      </c>
      <c r="AL27" s="192"/>
      <c r="AM27" s="192"/>
      <c r="AN27" s="192"/>
      <c r="AO27" s="204" t="e">
        <f>IF(AM25&lt;0,-AM25,AM25)</f>
        <v>#N/A</v>
      </c>
    </row>
    <row r="28" spans="8:8" ht="15.75" customHeight="1">
      <c r="C28" s="221" t="s">
        <v>130</v>
      </c>
      <c r="D28" s="221" t="str">
        <f>IF(AND(E21&lt;40,D25&gt;50),"u2.5L, u3.5H","CHECK ANOTHER")</f>
        <v>CHECK ANOTHER</v>
      </c>
      <c r="E28" s="195"/>
      <c r="F28" s="246" t="s">
        <v>117</v>
      </c>
      <c r="G28" s="193" t="s">
        <v>118</v>
      </c>
      <c r="H28" s="247" t="str">
        <f>Sheet2!T46</f>
        <v>medium</v>
      </c>
      <c r="I28" s="199"/>
      <c r="K28" s="221" t="s">
        <v>130</v>
      </c>
      <c r="L28" s="221" t="str">
        <f>IF(AND(M21&lt;40,L25&gt;50),"u2.5L, u3.5H","CHECK ANOTHER")</f>
        <v>u2.5L, u3.5H</v>
      </c>
      <c r="M28" s="195"/>
      <c r="N28" s="246" t="s">
        <v>117</v>
      </c>
      <c r="O28" s="193" t="s">
        <v>118</v>
      </c>
      <c r="P28" s="247" t="str">
        <f>Sheet2!AS46</f>
        <v>high</v>
      </c>
      <c r="Q28" s="199"/>
      <c r="S28" s="221" t="s">
        <v>130</v>
      </c>
      <c r="T28" s="221" t="str">
        <f>IF(AND(U21&lt;40,T25&gt;50),"u2.5L, u3.5H","CHECK ANOTHER")</f>
        <v>u2.5L, u3.5H</v>
      </c>
      <c r="U28" s="195"/>
      <c r="V28" s="246" t="s">
        <v>117</v>
      </c>
      <c r="W28" s="193" t="s">
        <v>118</v>
      </c>
      <c r="X28" s="247" t="str">
        <f>Sheet2!BR46</f>
        <v>high</v>
      </c>
      <c r="Y28" s="199"/>
      <c r="AA28" s="221" t="s">
        <v>130</v>
      </c>
      <c r="AB28" s="221" t="str">
        <f>IF(AND(AC21&lt;40,AB25&gt;50),"u2.5L, u3.5H","CHECK ANOTHER")</f>
        <v>CHECK ANOTHER</v>
      </c>
      <c r="AC28" s="195"/>
      <c r="AD28" s="246" t="s">
        <v>117</v>
      </c>
      <c r="AE28" s="193" t="s">
        <v>118</v>
      </c>
      <c r="AF28" s="247" t="str">
        <f>Sheet2!CQ46</f>
        <v>medium</v>
      </c>
      <c r="AG28" s="199"/>
      <c r="AI28" s="221" t="s">
        <v>130</v>
      </c>
      <c r="AJ28" s="221" t="e">
        <f>IF(AND(AK21&lt;40,AJ25&gt;50),"u2.5L, u3.5H","CHECK ANOTHER")</f>
        <v>#N/A</v>
      </c>
      <c r="AK28" s="195"/>
      <c r="AL28" s="246" t="s">
        <v>117</v>
      </c>
      <c r="AM28" s="193" t="s">
        <v>118</v>
      </c>
      <c r="AN28" s="247" t="e">
        <f>Sheet2!DP46</f>
        <v>#N/A</v>
      </c>
      <c r="AO28" s="199"/>
    </row>
    <row r="29" spans="8:8" ht="15.75" customHeight="1">
      <c r="C29" s="221" t="s">
        <v>131</v>
      </c>
      <c r="D29" s="221" t="str">
        <f>IF(AND(E21&gt;59.9,E21&lt;75,D25&gt;40),"2HANDICAP","CHECK ANOTHER")</f>
        <v>CHECK ANOTHER</v>
      </c>
      <c r="E29" s="195"/>
      <c r="F29" s="192"/>
      <c r="G29" s="248"/>
      <c r="H29" s="249" t="s">
        <v>119</v>
      </c>
      <c r="I29" s="250" t="s">
        <v>120</v>
      </c>
      <c r="K29" s="221" t="s">
        <v>131</v>
      </c>
      <c r="L29" s="221" t="str">
        <f>IF(AND(M21&gt;59.9,M21&lt;75,L25&gt;40),"2HANDICAP","CHECK ANOTHER")</f>
        <v>CHECK ANOTHER</v>
      </c>
      <c r="M29" s="195"/>
      <c r="N29" s="192"/>
      <c r="O29" s="248"/>
      <c r="P29" s="249" t="s">
        <v>119</v>
      </c>
      <c r="Q29" s="250" t="s">
        <v>120</v>
      </c>
      <c r="S29" s="221" t="s">
        <v>131</v>
      </c>
      <c r="T29" s="221" t="str">
        <f>IF(AND(U21&gt;59.9,U21&lt;75,T25&gt;40),"2HANDICAP","CHECK ANOTHER")</f>
        <v>CHECK ANOTHER</v>
      </c>
      <c r="U29" s="195"/>
      <c r="V29" s="192"/>
      <c r="W29" s="248"/>
      <c r="X29" s="249" t="s">
        <v>119</v>
      </c>
      <c r="Y29" s="250" t="s">
        <v>120</v>
      </c>
      <c r="AA29" s="221" t="s">
        <v>131</v>
      </c>
      <c r="AB29" s="221" t="str">
        <f>IF(AND(AC21&gt;59.9,AC21&lt;75,AB25&gt;40),"2HANDICAP","CHECK ANOTHER")</f>
        <v>CHECK ANOTHER</v>
      </c>
      <c r="AC29" s="195"/>
      <c r="AD29" s="192"/>
      <c r="AE29" s="248"/>
      <c r="AF29" s="249" t="s">
        <v>119</v>
      </c>
      <c r="AG29" s="250" t="s">
        <v>120</v>
      </c>
      <c r="AI29" s="221" t="s">
        <v>131</v>
      </c>
      <c r="AJ29" s="221" t="e">
        <f>IF(AND(AK21&gt;59.9,AK21&lt;75,AJ25&gt;40),"2HANDICAP","CHECK ANOTHER")</f>
        <v>#N/A</v>
      </c>
      <c r="AK29" s="195"/>
      <c r="AL29" s="192"/>
      <c r="AM29" s="248"/>
      <c r="AN29" s="249" t="s">
        <v>119</v>
      </c>
      <c r="AO29" s="250" t="s">
        <v>120</v>
      </c>
    </row>
    <row r="30" spans="8:8" ht="15.75" customHeight="1">
      <c r="C30" s="221" t="s">
        <v>132</v>
      </c>
      <c r="D30" s="259" t="str">
        <f>IF(AND(E21&gt;39.9,E21&lt;58,D25&gt;54),"DOUBLE","CHECK ANOTHER")</f>
        <v>CHECK ANOTHER</v>
      </c>
      <c r="E30" s="195"/>
      <c r="F30" s="192" t="str">
        <f>IF(H25&gt;38.8,"winnig",IF(H25&gt;33.9,"don’t choose",IF(H25&gt;21.6,"double",IF(H25&gt;22.8," win",IF(H25&gt;17," A win",IF(H25&gt;14,"double",IF(H25&gt;12.5," run hard",IF(H25&gt;8,"2 handicap","don’t choose"))))))))</f>
        <v>don’t choose</v>
      </c>
      <c r="G30" s="251" t="s">
        <v>121</v>
      </c>
      <c r="H30" s="192" t="str">
        <f>Sheet2!T47</f>
        <v>Run</v>
      </c>
      <c r="I30" s="204" t="str">
        <f>Sheet2!U47</f>
        <v>O4.5</v>
      </c>
      <c r="K30" s="221" t="s">
        <v>132</v>
      </c>
      <c r="L30" s="221" t="str">
        <f>IF(AND(M21&gt;39.9,M21&lt;58,L25&gt;54),"DOUBLE","CHECK ANOTHER")</f>
        <v>CHECK ANOTHER</v>
      </c>
      <c r="M30" s="195"/>
      <c r="N30" s="192" t="str">
        <f>IF(P25&gt;38.8,"winnig",IF(P25&gt;33.9,"don’t choose",IF(P25&gt;21.6,"double",IF(P25&gt;22.8," win",IF(P25&gt;17," A win",IF(P25&gt;14,"double",IF(P25&gt;12.5," run hard",IF(P25&gt;8,"2 handicap","don’t choose"))))))))</f>
        <v> A win</v>
      </c>
      <c r="O30" s="251" t="s">
        <v>121</v>
      </c>
      <c r="P30" s="192" t="str">
        <f>Sheet2!AS47</f>
        <v>U1.5</v>
      </c>
      <c r="Q30" s="204" t="str">
        <f>Sheet2!AT47</f>
        <v>Run</v>
      </c>
      <c r="S30" s="221" t="s">
        <v>132</v>
      </c>
      <c r="T30" s="221" t="str">
        <f>IF(AND(U21&gt;39.9,U21&lt;58,T25&gt;54),"DOUBLE","CHECK ANOTHER")</f>
        <v>CHECK ANOTHER</v>
      </c>
      <c r="U30" s="195"/>
      <c r="V30" s="192" t="str">
        <f>IF(X25&gt;38.8,"winnig",IF(X25&gt;33.9,"don’t choose",IF(X25&gt;21.6,"double",IF(X25&gt;22.8," win",IF(X25&gt;17," A win",IF(X25&gt;14,"double",IF(X25&gt;12.5," run hard",IF(X25&gt;8,"2 handicap","don’t choose"))))))))</f>
        <v> A win</v>
      </c>
      <c r="W30" s="251" t="s">
        <v>121</v>
      </c>
      <c r="X30" s="192" t="str">
        <f>Sheet2!BR47</f>
        <v>U1.5</v>
      </c>
      <c r="Y30" s="204" t="str">
        <f>Sheet2!BS47</f>
        <v>Run</v>
      </c>
      <c r="AA30" s="221" t="s">
        <v>132</v>
      </c>
      <c r="AB30" s="221" t="str">
        <f>IF(AND(AC21&gt;39.9,AC21&lt;58,AB25&gt;54),"DOUBLE","CHECK ANOTHER")</f>
        <v>CHECK ANOTHER</v>
      </c>
      <c r="AC30" s="195"/>
      <c r="AD30" s="192" t="str">
        <f>IF(AF25&gt;38.8,"winnig",IF(AF25&gt;33.9,"don’t choose",IF(AF25&gt;21.6,"double",IF(AF25&gt;22.8," win",IF(AF25&gt;17," A win",IF(AF25&gt;14,"double",IF(AF25&gt;12.5," run hard",IF(AF25&gt;8,"2 handicap","don’t choose"))))))))</f>
        <v>don’t choose</v>
      </c>
      <c r="AE30" s="251" t="s">
        <v>121</v>
      </c>
      <c r="AF30" s="192" t="str">
        <f>Sheet2!CQ47</f>
        <v>Run</v>
      </c>
      <c r="AG30" s="204" t="str">
        <f>Sheet2!CR47</f>
        <v>O4.5</v>
      </c>
      <c r="AI30" s="221" t="s">
        <v>132</v>
      </c>
      <c r="AJ30" s="221" t="e">
        <f>IF(AND(AK21&gt;39.9,AK21&lt;58,AJ25&gt;54),"DOUBLE","CHECK ANOTHER")</f>
        <v>#N/A</v>
      </c>
      <c r="AK30" s="195"/>
      <c r="AL30" s="192" t="e">
        <f>IF(AN25&gt;38.8,"winnig",IF(AN25&gt;33.9,"don’t choose",IF(AN25&gt;21.6,"double",IF(AN25&gt;22.8," win",IF(AN25&gt;17," A win",IF(AN25&gt;14,"double",IF(AN25&gt;12.5," run hard",IF(AN25&gt;8,"2 handicap","don’t choose"))))))))</f>
        <v>#N/A</v>
      </c>
      <c r="AM30" s="251" t="s">
        <v>121</v>
      </c>
      <c r="AN30" s="192" t="e">
        <f>Sheet2!DP47</f>
        <v>#N/A</v>
      </c>
      <c r="AO30" s="204" t="e">
        <f>Sheet2!DQ47</f>
        <v>#N/A</v>
      </c>
    </row>
    <row r="31" spans="8:8" ht="21.75" customHeight="1">
      <c r="C31" t="str">
        <f>Sheet2!AB8</f>
        <v>Under</v>
      </c>
      <c r="D31">
        <f>IF(Sheet2!AB8="under",Sheet2!AC8,IF(Sheet2!AB8="under+",Sheet2!AC7,Sheet2!AC6))</f>
        <v>3.50000033333333</v>
      </c>
      <c r="E31" s="195"/>
      <c r="F31" s="192" t="str">
        <f>IF(H26="Run please","don't play this","give it a trial")</f>
        <v>give it a trial</v>
      </c>
      <c r="G31" s="251" t="s">
        <v>122</v>
      </c>
      <c r="H31" s="192" t="str">
        <f>Sheet2!T48</f>
        <v>Run</v>
      </c>
      <c r="I31" s="204" t="str">
        <f>Sheet2!U48</f>
        <v>O2.5</v>
      </c>
      <c r="K31" t="str">
        <f>Sheet2!BA8</f>
        <v>over</v>
      </c>
      <c r="L31">
        <f>IF(Sheet2!BA8="under",Sheet2!BB8,IF(Sheet2!BA8="under+",Sheet2!BB7,Sheet2!BB6))</f>
        <v>2.5</v>
      </c>
      <c r="M31" s="195"/>
      <c r="N31" s="192" t="str">
        <f>IF(P26="Run please","don't play this","give it a trial")</f>
        <v>give it a trial</v>
      </c>
      <c r="O31" s="251" t="s">
        <v>122</v>
      </c>
      <c r="P31" s="192" t="str">
        <f>Sheet2!AS48</f>
        <v>U3.5</v>
      </c>
      <c r="Q31" s="204" t="str">
        <f>Sheet2!AT48</f>
        <v>Run</v>
      </c>
      <c r="S31" t="str">
        <f>Sheet2!BZ8</f>
        <v>over</v>
      </c>
      <c r="T31">
        <f>IF(Sheet2!BZ8="under",Sheet2!CA8,IF(Sheet2!BZ8="under+",Sheet2!CA7,Sheet2!CA6))</f>
        <v>2.5</v>
      </c>
      <c r="U31" s="195"/>
      <c r="V31" s="192" t="str">
        <f>IF(X26="Run please","don't play this","give it a trial")</f>
        <v>give it a trial</v>
      </c>
      <c r="W31" s="251" t="s">
        <v>122</v>
      </c>
      <c r="X31" s="192" t="str">
        <f>Sheet2!BR48</f>
        <v>U3.5</v>
      </c>
      <c r="Y31" s="204" t="str">
        <f>Sheet2!BS48</f>
        <v>Run</v>
      </c>
      <c r="AA31" t="str">
        <f>Sheet2!CY8</f>
        <v>over</v>
      </c>
      <c r="AB31">
        <f>IF(Sheet2!CY8="under",Sheet2!CZ8,IF(Sheet2!CY8="under+",Sheet2!CZ7,Sheet2!CZ6))</f>
        <v>1.5</v>
      </c>
      <c r="AC31" s="195"/>
      <c r="AD31" s="192" t="str">
        <f>IF(AF26="Run please","don't play this","give it a trial")</f>
        <v>give it a trial</v>
      </c>
      <c r="AE31" s="251" t="s">
        <v>122</v>
      </c>
      <c r="AF31" s="192" t="str">
        <f>Sheet2!CQ48</f>
        <v>Run</v>
      </c>
      <c r="AG31" s="204" t="str">
        <f>Sheet2!CR48</f>
        <v>O2.5</v>
      </c>
      <c r="AI31" t="e">
        <f>Sheet2!DX8</f>
        <v>#N/A</v>
      </c>
      <c r="AJ31" t="e">
        <f>IF(Sheet2!DX8="under",Sheet2!DY8,IF(Sheet2!DX8="under+",Sheet2!DY7,Sheet2!DY6))</f>
        <v>#N/A</v>
      </c>
      <c r="AK31" s="195"/>
      <c r="AL31" s="192" t="e">
        <f>IF(AN26="Run please","don't play this","give it a trial")</f>
        <v>#N/A</v>
      </c>
      <c r="AM31" s="251" t="s">
        <v>122</v>
      </c>
      <c r="AN31" s="192" t="e">
        <f>Sheet2!DP48</f>
        <v>#N/A</v>
      </c>
      <c r="AO31" s="204" t="e">
        <f>Sheet2!DQ48</f>
        <v>#N/A</v>
      </c>
    </row>
    <row r="32" spans="8:8" ht="15.75" customHeight="1">
      <c r="D32">
        <f>IF(AND(C31="over",F39="Resistance"),D31-1,D31)</f>
        <v>3.50000033333333</v>
      </c>
      <c r="E32" s="195"/>
      <c r="F32" s="217" t="str">
        <f>IF(H25&lt;7,"don’t choose",IF(H25&lt;10.5,"2 handicap",IF(H25&lt;30,"double",IF(H25&lt;32.6,"win",IF(H25&lt;38.9,"don't choose",IF(H25&lt;42.1,"double ","awin!"))))))</f>
        <v>don’t choose</v>
      </c>
      <c r="G32" s="252" t="s">
        <v>123</v>
      </c>
      <c r="H32" s="217" t="str">
        <f>Sheet2!W49</f>
        <v>Run</v>
      </c>
      <c r="I32" s="219" t="str">
        <f>Sheet2!X49</f>
        <v>O1.5</v>
      </c>
      <c r="L32">
        <f>IF(AND(K31="over",N39="Resistance"),L31-1,L31)</f>
        <v>2.5</v>
      </c>
      <c r="M32" s="195"/>
      <c r="N32" s="217" t="str">
        <f>IF(P25&lt;7,"don’t choose",IF(P25&lt;10.5,"2 handicap",IF(P25&lt;30,"double",IF(P25&lt;32.6,"win",IF(P25&lt;38.9,"don't choose",IF(P25&lt;42.1,"double ","awin!"))))))</f>
        <v>double</v>
      </c>
      <c r="O32" s="252" t="s">
        <v>123</v>
      </c>
      <c r="P32" s="217" t="str">
        <f>Sheet2!AV49</f>
        <v>u4.5</v>
      </c>
      <c r="Q32" s="219" t="str">
        <f>Sheet2!AW49</f>
        <v>Run</v>
      </c>
      <c r="T32">
        <f>IF(AND(S31="over",V39="Resistance"),T31-1,T31)</f>
        <v>2.5</v>
      </c>
      <c r="U32" s="195"/>
      <c r="V32" s="217" t="str">
        <f>IF(X25&lt;7,"don’t choose",IF(X25&lt;10.5,"2 handicap",IF(X25&lt;30,"double",IF(X25&lt;32.6,"win",IF(X25&lt;38.9,"don't choose",IF(X25&lt;42.1,"double ","awin!"))))))</f>
        <v>double</v>
      </c>
      <c r="W32" s="252" t="s">
        <v>123</v>
      </c>
      <c r="X32" s="217" t="str">
        <f>Sheet2!BU49</f>
        <v>u4.5</v>
      </c>
      <c r="Y32" s="219" t="str">
        <f>Sheet2!BV49</f>
        <v>Run</v>
      </c>
      <c r="AB32">
        <f>IF(AND(AA31="over",AD39="Resistance"),AB31-1,AB31)</f>
        <v>0.5</v>
      </c>
      <c r="AC32" s="195"/>
      <c r="AD32" s="217" t="str">
        <f>IF(AF25&lt;7,"don’t choose",IF(AF25&lt;10.5,"2 handicap",IF(AF25&lt;30,"double",IF(AF25&lt;32.6,"win",IF(AF25&lt;38.9,"don't choose",IF(AF25&lt;42.1,"double ","awin!"))))))</f>
        <v>don’t choose</v>
      </c>
      <c r="AE32" s="252" t="s">
        <v>123</v>
      </c>
      <c r="AF32" s="217" t="str">
        <f>Sheet2!CT49</f>
        <v>Run</v>
      </c>
      <c r="AG32" s="219" t="str">
        <f>Sheet2!CU49</f>
        <v>O1.5</v>
      </c>
      <c r="AJ32" t="e">
        <f>IF(AND(AI31="over",AL39="Resistance"),AJ31-1,AJ31)</f>
        <v>#N/A</v>
      </c>
      <c r="AK32" s="195"/>
      <c r="AL32" s="217" t="e">
        <f>IF(AN25&lt;7,"don’t choose",IF(AN25&lt;10.5,"2 handicap",IF(AN25&lt;30,"double",IF(AN25&lt;32.6,"win",IF(AN25&lt;38.9,"don't choose",IF(AN25&lt;42.1,"double ","awin!"))))))</f>
        <v>#N/A</v>
      </c>
      <c r="AM32" s="252" t="s">
        <v>123</v>
      </c>
      <c r="AN32" s="217" t="e">
        <f>Sheet2!DS49</f>
        <v>#N/A</v>
      </c>
      <c r="AO32" s="219" t="e">
        <f>Sheet2!DT49</f>
        <v>#N/A</v>
      </c>
    </row>
    <row r="33" spans="8:8" ht="25.5" customHeight="1">
      <c r="E33" s="195" t="s">
        <v>124</v>
      </c>
      <c r="F33" s="192" t="str">
        <f>IF(H28="medium",F32,IF(H28="low",F32,F30))</f>
        <v>don’t choose</v>
      </c>
      <c r="G33" t="s">
        <v>125</v>
      </c>
      <c r="H33" s="192" t="str">
        <f>IF(H28="medium",H31,IF(H28="high",H30,IF(H28="low",H32)))</f>
        <v>Run</v>
      </c>
      <c r="I33" s="204">
        <f>IF(I23&lt;0,-I23,I23)</f>
        <v>2.17106317659174</v>
      </c>
      <c r="M33" s="195" t="s">
        <v>124</v>
      </c>
      <c r="N33" s="192" t="str">
        <f>IF(P28="medium",N32,IF(P28="low",N32,N30))</f>
        <v> A win</v>
      </c>
      <c r="O33" t="s">
        <v>125</v>
      </c>
      <c r="P33" s="192" t="str">
        <f>IF(P28="medium",P31,IF(P28="high",P30,IF(P28="low",P32)))</f>
        <v>U1.5</v>
      </c>
      <c r="Q33" s="204">
        <f>IF(Q23&lt;0,-Q23,Q23)</f>
        <v>0.562019458753443</v>
      </c>
      <c r="U33" s="195" t="s">
        <v>124</v>
      </c>
      <c r="V33" s="192" t="str">
        <f>IF(X28="medium",V32,IF(X28="low",V32,V30))</f>
        <v> A win</v>
      </c>
      <c r="W33" t="s">
        <v>125</v>
      </c>
      <c r="X33" s="192" t="str">
        <f>IF(X28="medium",X31,IF(X28="high",X30,IF(X28="low",X32)))</f>
        <v>U1.5</v>
      </c>
      <c r="Y33" s="204">
        <f>IF(Y23&lt;0,-Y23,Y23)</f>
        <v>0.562019458753443</v>
      </c>
      <c r="AC33" s="195" t="s">
        <v>124</v>
      </c>
      <c r="AD33" s="192" t="str">
        <f>IF(AF28="medium",AD32,IF(AF28="low",AD32,AD30))</f>
        <v>don’t choose</v>
      </c>
      <c r="AE33" t="s">
        <v>125</v>
      </c>
      <c r="AF33" s="192" t="str">
        <f>IF(AF28="medium",AF31,IF(AF28="high",AF30,IF(AF28="low",AF32)))</f>
        <v>Run</v>
      </c>
      <c r="AG33" s="204">
        <f>IF(AG23&lt;0,-AG23,AG23)</f>
        <v>2.17106317659174</v>
      </c>
      <c r="AK33" s="195" t="s">
        <v>124</v>
      </c>
      <c r="AL33" s="192" t="e">
        <f>IF(AN28="medium",AL32,IF(AN28="low",AL32,AL30))</f>
        <v>#N/A</v>
      </c>
      <c r="AM33" t="s">
        <v>125</v>
      </c>
      <c r="AN33" s="192" t="e">
        <f>IF(AN28="medium",AN31,IF(AN28="high",AN30,IF(AN28="low",AN32)))</f>
        <v>#N/A</v>
      </c>
      <c r="AO33" s="204" t="e">
        <f>IF(AO23&lt;0,-AO23,AO23)</f>
        <v>#N/A</v>
      </c>
    </row>
    <row r="34" spans="8:8" ht="15.75" customHeight="1">
      <c r="E34" s="195" t="str">
        <f>IF(F20="best tab 2",H33,H13)</f>
        <v>U3.5</v>
      </c>
      <c r="F34" s="192"/>
      <c r="G34" s="253" t="s">
        <v>90</v>
      </c>
      <c r="H34" s="192" t="str">
        <f>Sheet2!W52</f>
        <v>run</v>
      </c>
      <c r="I34" s="204" t="str">
        <f>IF(H28="high",I30,IF(H28="medium",I31,IF(H28="low",I32)))</f>
        <v>O2.5</v>
      </c>
      <c r="M34" s="195" t="str">
        <f>IF(N20="best tab 2",P33,P13)</f>
        <v>Run</v>
      </c>
      <c r="N34" s="192"/>
      <c r="O34" s="253" t="s">
        <v>90</v>
      </c>
      <c r="P34" s="192" t="str">
        <f>Sheet2!AV52</f>
        <v>run</v>
      </c>
      <c r="Q34" s="204" t="str">
        <f>IF(P28="high",Q30,IF(P28="medium",Q31,IF(P28="low",Q32)))</f>
        <v>Run</v>
      </c>
      <c r="U34" s="195" t="str">
        <f>IF(V20="best tab 2",X33,X13)</f>
        <v>Run</v>
      </c>
      <c r="V34" s="192"/>
      <c r="W34" s="253" t="s">
        <v>90</v>
      </c>
      <c r="X34" s="192" t="str">
        <f>Sheet2!BU52</f>
        <v>run</v>
      </c>
      <c r="Y34" s="204" t="str">
        <f>IF(X28="high",Y30,IF(X28="medium",Y31,IF(X28="low",Y32)))</f>
        <v>Run</v>
      </c>
      <c r="AC34" s="195" t="str">
        <f>IF(AD20="best tab 2",AF33,AF13)</f>
        <v>U3.5</v>
      </c>
      <c r="AD34" s="192"/>
      <c r="AE34" s="253" t="s">
        <v>90</v>
      </c>
      <c r="AF34" s="192" t="str">
        <f>Sheet2!CT52</f>
        <v>run</v>
      </c>
      <c r="AG34" s="204" t="str">
        <f>IF(AF28="high",AG30,IF(AF28="medium",AG31,IF(AF28="low",AG32)))</f>
        <v>O2.5</v>
      </c>
      <c r="AK34" s="195" t="e">
        <f>IF(AL20="best tab 2",AN33,AN13)</f>
        <v>#N/A</v>
      </c>
      <c r="AL34" s="192"/>
      <c r="AM34" s="253" t="s">
        <v>90</v>
      </c>
      <c r="AN34" s="192" t="e">
        <f>Sheet2!DS52</f>
        <v>#N/A</v>
      </c>
      <c r="AO34" s="204" t="e">
        <f>IF(AN28="high",AO30,IF(AN28="medium",AO31,IF(AN28="low",AO32)))</f>
        <v>#N/A</v>
      </c>
    </row>
    <row r="35" spans="8:8" ht="15.75" customHeight="1">
      <c r="E35" s="195">
        <f>IF(E34="run",0,IF(E34="u0.5",0.5,IF(E34="u1.5",1.5,IF(E34="u2.5",2.5,IF(E34="u3.5",3.5,4.5)))))</f>
        <v>3.5</v>
      </c>
      <c r="F35" s="192"/>
      <c r="G35" s="192"/>
      <c r="H35" s="192">
        <f>IF(H33="u0.5",0.5,IF(H33="u1.5",1.5,IF(H33="u2.5",2.5,IF(H33="u3.5",3.5,IF(H33="u4.5",4.5,0)))))</f>
        <v>0.0</v>
      </c>
      <c r="I35" s="204">
        <f>IF(I34="o0.5",0.5,IF(I34="o1.5",1.5,IF(I34="o2.5",2.5,IF(I34="o3.5",3.5,IF(I34="o4.5",4.5,0)))))</f>
        <v>2.5</v>
      </c>
      <c r="M35" s="195">
        <f>IF(M34="run",0,IF(M34="u0.5",0.5,IF(M34="u1.5",1.5,IF(M34="u2.5",2.5,IF(M34="u3.5",3.5,4.5)))))</f>
        <v>0.0</v>
      </c>
      <c r="N35" s="192"/>
      <c r="O35" s="192"/>
      <c r="P35" s="192">
        <f>IF(P33="u0.5",0.5,IF(P33="u1.5",1.5,IF(P33="u2.5",2.5,IF(P33="u3.5",3.5,IF(P33="u4.5",4.5,0)))))</f>
        <v>1.5</v>
      </c>
      <c r="Q35" s="204">
        <f>IF(Q34="o0.5",0.5,IF(Q34="o1.5",1.5,IF(Q34="o2.5",2.5,IF(Q34="o3.5",3.5,IF(Q34="o4.5",4.5,0)))))</f>
        <v>0.0</v>
      </c>
      <c r="U35" s="195">
        <f>IF(U34="run",0,IF(U34="u0.5",0.5,IF(U34="u1.5",1.5,IF(U34="u2.5",2.5,IF(U34="u3.5",3.5,4.5)))))</f>
        <v>0.0</v>
      </c>
      <c r="V35" s="192"/>
      <c r="W35" s="192"/>
      <c r="X35" s="192">
        <f>IF(X33="u0.5",0.5,IF(X33="u1.5",1.5,IF(X33="u2.5",2.5,IF(X33="u3.5",3.5,IF(X33="u4.5",4.5,0)))))</f>
        <v>1.5</v>
      </c>
      <c r="Y35" s="204">
        <f>IF(Y34="o0.5",0.5,IF(Y34="o1.5",1.5,IF(Y34="o2.5",2.5,IF(Y34="o3.5",3.5,IF(Y34="o4.5",4.5,0)))))</f>
        <v>0.0</v>
      </c>
      <c r="AC35" s="195">
        <f>IF(AC34="run",0,IF(AC34="u0.5",0.5,IF(AC34="u1.5",1.5,IF(AC34="u2.5",2.5,IF(AC34="u3.5",3.5,4.5)))))</f>
        <v>3.5</v>
      </c>
      <c r="AD35" s="192"/>
      <c r="AE35" s="192"/>
      <c r="AF35" s="192">
        <f>IF(AF33="u0.5",0.5,IF(AF33="u1.5",1.5,IF(AF33="u2.5",2.5,IF(AF33="u3.5",3.5,IF(AF33="u4.5",4.5,0)))))</f>
        <v>0.0</v>
      </c>
      <c r="AG35" s="204">
        <f>IF(AG34="o0.5",0.5,IF(AG34="o1.5",1.5,IF(AG34="o2.5",2.5,IF(AG34="o3.5",3.5,IF(AG34="o4.5",4.5,0)))))</f>
        <v>2.5</v>
      </c>
      <c r="AK35" s="195" t="e">
        <f>IF(AK34="run",0,IF(AK34="u0.5",0.5,IF(AK34="u1.5",1.5,IF(AK34="u2.5",2.5,IF(AK34="u3.5",3.5,4.5)))))</f>
        <v>#N/A</v>
      </c>
      <c r="AL35" s="192"/>
      <c r="AM35" s="192"/>
      <c r="AN35" s="192" t="e">
        <f>IF(AN33="u0.5",0.5,IF(AN33="u1.5",1.5,IF(AN33="u2.5",2.5,IF(AN33="u3.5",3.5,IF(AN33="u4.5",4.5,0)))))</f>
        <v>#N/A</v>
      </c>
      <c r="AO35" s="204" t="e">
        <f>IF(AO34="o0.5",0.5,IF(AO34="o1.5",1.5,IF(AO34="o2.5",2.5,IF(AO34="o3.5",3.5,IF(AO34="o4.5",4.5,0)))))</f>
        <v>#N/A</v>
      </c>
    </row>
    <row r="36" spans="8:8" ht="15.75" customHeight="1">
      <c r="E36" s="195" t="str">
        <f>IF(C31="over",AVERAGE(D31,E35),"")</f>
        <v/>
      </c>
      <c r="F36" s="192"/>
      <c r="G36" s="254" t="s">
        <v>126</v>
      </c>
      <c r="H36" s="192" t="str">
        <f>Sheet2!Q51</f>
        <v>don’t choose</v>
      </c>
      <c r="I36" s="204"/>
      <c r="M36" s="195">
        <f>IF(K31="over",AVERAGE(L31,M35),"")</f>
        <v>1.25</v>
      </c>
      <c r="N36" s="192"/>
      <c r="O36" s="254" t="s">
        <v>126</v>
      </c>
      <c r="P36" s="192" t="str">
        <f>Sheet2!AP51</f>
        <v>don’t choose</v>
      </c>
      <c r="Q36" s="204"/>
      <c r="U36" s="195">
        <f>IF(S31="over",AVERAGE(T31,U35),"")</f>
        <v>1.25</v>
      </c>
      <c r="V36" s="192"/>
      <c r="W36" s="254" t="s">
        <v>126</v>
      </c>
      <c r="X36" s="192" t="str">
        <f>Sheet2!BO51</f>
        <v>don’t choose</v>
      </c>
      <c r="Y36" s="204"/>
      <c r="AC36" s="195">
        <f>IF(AA31="over",AVERAGE(AB31,AC35),"")</f>
        <v>2.5</v>
      </c>
      <c r="AD36" s="192"/>
      <c r="AE36" s="254" t="s">
        <v>126</v>
      </c>
      <c r="AF36" s="192" t="str">
        <f>Sheet2!CN51</f>
        <v>X</v>
      </c>
      <c r="AG36" s="204"/>
      <c r="AK36" s="195" t="e">
        <f>IF(AI31="over",AVERAGE(AJ31,AK35),"")</f>
        <v>#N/A</v>
      </c>
      <c r="AL36" s="192"/>
      <c r="AM36" s="254" t="s">
        <v>126</v>
      </c>
      <c r="AN36" s="192" t="e">
        <f>Sheet2!DM51</f>
        <v>#N/A</v>
      </c>
      <c r="AO36" s="204"/>
    </row>
    <row r="37" spans="8:8" ht="15.75" customHeight="1">
      <c r="E37" s="195"/>
      <c r="F37" s="192" t="str">
        <f>IF(AND(F38="both tabs",I33&gt;0.3),"chose"," ")</f>
        <v>chose</v>
      </c>
      <c r="G37" s="192"/>
      <c r="H37" s="192"/>
      <c r="I37" s="204"/>
      <c r="M37" s="195"/>
      <c r="N37" s="192" t="str">
        <f>IF(AND(N38="both tabs",Q33&gt;0.3),"chose"," ")</f>
        <v>chose</v>
      </c>
      <c r="O37" s="192"/>
      <c r="P37" s="192"/>
      <c r="Q37" s="204"/>
      <c r="U37" s="195"/>
      <c r="V37" s="192" t="str">
        <f>IF(AND(V38="both tabs",Y33&gt;0.3),"chose"," ")</f>
        <v>chose</v>
      </c>
      <c r="W37" s="192"/>
      <c r="X37" s="192"/>
      <c r="Y37" s="204"/>
      <c r="AC37" s="195"/>
      <c r="AD37" s="192" t="str">
        <f>IF(AND(AD38="both tabs",AG33&gt;0.3),"chose"," ")</f>
        <v>chose</v>
      </c>
      <c r="AE37" s="192"/>
      <c r="AF37" s="192"/>
      <c r="AG37" s="204"/>
      <c r="AK37" s="195"/>
      <c r="AL37" s="192" t="e">
        <f>IF(AND(AL38="both tabs",AO33&gt;0.3),"chose"," ")</f>
        <v>#N/A</v>
      </c>
      <c r="AM37" s="192"/>
      <c r="AN37" s="192"/>
      <c r="AO37" s="204"/>
    </row>
    <row r="38" spans="8:8" ht="15.75" customHeight="1">
      <c r="E38" s="216" t="str">
        <f>IF(Check!G22="home","away","home")</f>
        <v>home</v>
      </c>
      <c r="F38" s="217" t="str">
        <f>IF(AND(G5&lt;0,G25&lt;0),"One tab",IF(AND(G5&lt;0,G25&gt;0),"Both Tabs",IF(AND(G5&gt;0,G25&lt;0),"Both Tabs","One Tab")))</f>
        <v>Both Tabs</v>
      </c>
      <c r="G38" s="255" t="s">
        <v>127</v>
      </c>
      <c r="H38" s="217" t="str">
        <f>Sheet2!W55</f>
        <v>RUN</v>
      </c>
      <c r="I38" s="219"/>
      <c r="M38" s="216" t="str">
        <f>IF(Check!O22="home","away","home")</f>
        <v>away</v>
      </c>
      <c r="N38" s="217" t="str">
        <f>IF(AND(O5&lt;0,O25&lt;0),"One tab",IF(AND(O5&lt;0,O25&gt;0),"Both Tabs",IF(AND(O5&gt;0,O25&lt;0),"Both Tabs","One Tab")))</f>
        <v>Both Tabs</v>
      </c>
      <c r="O38" s="255" t="s">
        <v>127</v>
      </c>
      <c r="P38" s="217" t="str">
        <f>Sheet2!AV55</f>
        <v>RUN</v>
      </c>
      <c r="Q38" s="219"/>
      <c r="U38" s="216" t="str">
        <f>IF(Check!W22="home","away","home")</f>
        <v>away</v>
      </c>
      <c r="V38" s="217" t="str">
        <f>IF(AND(W5&lt;0,W25&lt;0),"One tab",IF(AND(W5&lt;0,W25&gt;0),"Both Tabs",IF(AND(W5&gt;0,W25&lt;0),"Both Tabs","One Tab")))</f>
        <v>Both Tabs</v>
      </c>
      <c r="W38" s="255" t="s">
        <v>127</v>
      </c>
      <c r="X38" s="217" t="str">
        <f>Sheet2!BU55</f>
        <v>RUN</v>
      </c>
      <c r="Y38" s="219"/>
      <c r="AC38" s="216" t="str">
        <f>IF(Check!AE22="home","away","home")</f>
        <v>home</v>
      </c>
      <c r="AD38" s="217" t="str">
        <f>IF(AND(AE5&lt;0,AE25&lt;0),"One tab",IF(AND(AE5&lt;0,AE25&gt;0),"Both Tabs",IF(AND(AE5&gt;0,AE25&lt;0),"Both Tabs","One Tab")))</f>
        <v>Both Tabs</v>
      </c>
      <c r="AE38" s="255" t="s">
        <v>127</v>
      </c>
      <c r="AF38" s="217" t="str">
        <f>Sheet2!CT55</f>
        <v>RUN</v>
      </c>
      <c r="AG38" s="219"/>
      <c r="AK38" s="216" t="e">
        <f>IF(Check!AM22="home","away","home")</f>
        <v>#N/A</v>
      </c>
      <c r="AL38" s="217" t="e">
        <f>IF(AND(AM5&lt;0,AM25&lt;0),"One tab",IF(AND(AM5&lt;0,AM25&gt;0),"Both Tabs",IF(AND(AM5&gt;0,AM25&lt;0),"Both Tabs","One Tab")))</f>
        <v>#N/A</v>
      </c>
      <c r="AM38" s="255" t="s">
        <v>127</v>
      </c>
      <c r="AN38" s="217" t="e">
        <f>Sheet2!DS55</f>
        <v>#N/A</v>
      </c>
      <c r="AO38" s="219"/>
    </row>
    <row r="39" spans="8:8" ht="15.75" customHeight="1">
      <c r="F39" t="str">
        <f>IF(G39&gt;H39,"Resistance","support")</f>
        <v>Resistance</v>
      </c>
      <c r="G39">
        <f t="shared" si="0" ref="G39:H39">H15+H35</f>
        <v>3.5</v>
      </c>
      <c r="H39">
        <f t="shared" si="0"/>
        <v>2.5</v>
      </c>
      <c r="N39" t="str">
        <f>IF(O39&gt;P39,"Resistance","support")</f>
        <v>support</v>
      </c>
      <c r="O39">
        <f t="shared" si="1" ref="O39:P39">P15+P35</f>
        <v>1.5</v>
      </c>
      <c r="P39">
        <f t="shared" si="1"/>
        <v>4.5</v>
      </c>
      <c r="V39" t="str">
        <f>IF(W39&gt;X39,"Resistance","support")</f>
        <v>support</v>
      </c>
      <c r="W39">
        <f t="shared" si="2" ref="W39:X39">X15+X35</f>
        <v>1.5</v>
      </c>
      <c r="X39">
        <f t="shared" si="2"/>
        <v>4.5</v>
      </c>
      <c r="AD39" t="str">
        <f>IF(AE39&gt;AF39,"Resistance","support")</f>
        <v>Resistance</v>
      </c>
      <c r="AE39">
        <f t="shared" si="3" ref="AE39:AF39">AF15+AF35</f>
        <v>3.5</v>
      </c>
      <c r="AF39">
        <f t="shared" si="3"/>
        <v>2.5</v>
      </c>
      <c r="AL39" t="e">
        <f>IF(AM39&gt;AN39,"Resistance","support")</f>
        <v>#N/A</v>
      </c>
      <c r="AM39" t="e">
        <f t="shared" si="4" ref="AM39:AN39">AN15+AN35</f>
        <v>#N/A</v>
      </c>
      <c r="AN39" t="e">
        <f t="shared" si="4"/>
        <v>#N/A</v>
      </c>
    </row>
    <row r="40" spans="8:8" ht="15.75" customHeight="1">
      <c r="F40" t="str">
        <f>IF(AND(G39&gt;6,H39=0),"*Resistance*","")</f>
        <v/>
      </c>
      <c r="G40" t="str">
        <f>IF(AND(H41&lt;0,F41=-H41),"home",IF(AND(G41&gt;0,F41=G41),"home","away"))</f>
        <v>home</v>
      </c>
      <c r="N40" t="str">
        <f>IF(AND(O39&gt;6,P39=0),"*Resistance*","")</f>
        <v/>
      </c>
      <c r="O40" t="str">
        <f>IF(AND(P41&lt;0,N41=-P41),"home",IF(AND(O41&gt;0,N41=O41),"home","away"))</f>
        <v>away</v>
      </c>
      <c r="V40" t="str">
        <f>IF(AND(W39&gt;6,X39=0),"*Resistance*","")</f>
        <v/>
      </c>
      <c r="W40" t="str">
        <f>IF(AND(X41&lt;0,V41=-X41),"home",IF(AND(W41&gt;0,V41=W41),"home","away"))</f>
        <v>away</v>
      </c>
      <c r="AD40" t="str">
        <f>IF(AND(AE39&gt;6,AF39=0),"*Resistance*","")</f>
        <v/>
      </c>
      <c r="AE40" t="str">
        <f>IF(AND(AF41&lt;0,AD41=-AF41),"home",IF(AND(AE41&gt;0,AD41=AE41),"home","away"))</f>
        <v>home</v>
      </c>
      <c r="AL40" t="e">
        <f>IF(AND(AM39&gt;6,AN39=0),"*Resistance*","")</f>
        <v>#N/A</v>
      </c>
      <c r="AM40" t="e">
        <f>IF(AND(AN41&lt;0,AL41=-AN41),"home",IF(AND(AM41&gt;0,AL41=AM41),"home","away"))</f>
        <v>#N/A</v>
      </c>
    </row>
    <row r="41" spans="8:8" ht="15.75" customHeight="1">
      <c r="F41">
        <f>MAX(H42,H43)</f>
        <v>1.50923907603878</v>
      </c>
      <c r="G41">
        <f t="shared" si="5" ref="G41:H41">G4-G24</f>
        <v>-0.8964484054847699</v>
      </c>
      <c r="H41">
        <f t="shared" si="5"/>
        <v>-1.50923907603878</v>
      </c>
      <c r="I41">
        <f>IF(G41&lt;0,-G41,G41)-IF(H41&lt;0,-H41,H41)</f>
        <v>-0.6127906705540099</v>
      </c>
      <c r="N41">
        <f>MAX(P42,P43)</f>
        <v>1.4849183383854272</v>
      </c>
      <c r="O41">
        <f t="shared" si="6" ref="O41:P41">O4-O24</f>
        <v>0.94591438888569</v>
      </c>
      <c r="P41">
        <f t="shared" si="6"/>
        <v>1.4849183383854272</v>
      </c>
      <c r="Q41">
        <f>IF(O41&lt;0,-O41,O41)-IF(P41&lt;0,-P41,P41)</f>
        <v>-0.5390039494997401</v>
      </c>
      <c r="V41">
        <f>MAX(X42,X43)</f>
        <v>1.4849183383854272</v>
      </c>
      <c r="W41">
        <f t="shared" si="7" ref="W41:X41">W4-W24</f>
        <v>0.94591438888569</v>
      </c>
      <c r="X41">
        <f t="shared" si="7"/>
        <v>1.4849183383854272</v>
      </c>
      <c r="Y41">
        <f>IF(W41&lt;0,-W41,W41)-IF(X41&lt;0,-X41,X41)</f>
        <v>-0.5390039494997401</v>
      </c>
      <c r="AD41">
        <f>MAX(AF42,AF43)</f>
        <v>1.50923907603878</v>
      </c>
      <c r="AE41">
        <f t="shared" si="8" ref="AE41:AF41">AE4-AE24</f>
        <v>-0.8964484054847699</v>
      </c>
      <c r="AF41">
        <f t="shared" si="8"/>
        <v>-1.50923907603878</v>
      </c>
      <c r="AG41">
        <f>IF(AE41&lt;0,-AE41,AE41)-IF(AF41&lt;0,-AF41,AF41)</f>
        <v>-0.6127906705540099</v>
      </c>
      <c r="AL41" t="e">
        <f>MAX(AN42,AN43)</f>
        <v>#N/A</v>
      </c>
      <c r="AM41" t="e">
        <f t="shared" si="9" ref="AM41:AN41">AM4-AM24</f>
        <v>#N/A</v>
      </c>
      <c r="AN41" t="e">
        <f t="shared" si="9"/>
        <v>#N/A</v>
      </c>
      <c r="AO41" t="e">
        <f>IF(AM41&lt;0,-AM41,AM41)-IF(AN41&lt;0,-AN41,AN41)</f>
        <v>#N/A</v>
      </c>
    </row>
    <row r="42" spans="8:8" ht="15.75" customHeight="1">
      <c r="F42" t="str">
        <f>IF(D8="Tab1 ",Check!G7,E38)</f>
        <v>HOME</v>
      </c>
      <c r="G42" t="str">
        <f>IF(AND(G41&gt;0,H41&lt;0),"Home win",IF(AND(G41&lt;0,H41&gt;0),"Away win","Draw"))</f>
        <v>Draw</v>
      </c>
      <c r="H42">
        <f>IF(G41&lt;0,-G41,G41)</f>
        <v>0.8964484054847699</v>
      </c>
      <c r="I42">
        <f>AVERAGE(H42,H43)</f>
        <v>1.202843740761775</v>
      </c>
      <c r="J42">
        <f>I42+I43</f>
        <v>1.79289681096955</v>
      </c>
      <c r="N42" t="str">
        <f>IF(L8="Tab1 ",Check!O7,M38)</f>
        <v>away</v>
      </c>
      <c r="O42" t="str">
        <f>IF(AND(O41&gt;0,P41&lt;0),"Home win",IF(AND(O41&lt;0,P41&gt;0),"Away win","Draw"))</f>
        <v>Draw</v>
      </c>
      <c r="P42">
        <f>IF(O41&lt;0,-O41,O41)</f>
        <v>0.94591438888569</v>
      </c>
      <c r="Q42">
        <f>AVERAGE(P42,P43)</f>
        <v>1.2154163636355586</v>
      </c>
      <c r="R42">
        <f>Q42+Q43</f>
        <v>1.89182877777138</v>
      </c>
      <c r="V42" t="str">
        <f>IF(T8="Tab1 ",Check!W7,U38)</f>
        <v>away</v>
      </c>
      <c r="W42" t="str">
        <f>IF(AND(W41&gt;0,X41&lt;0),"Home win",IF(AND(W41&lt;0,X41&gt;0),"Away win","Draw"))</f>
        <v>Draw</v>
      </c>
      <c r="X42">
        <f>IF(W41&lt;0,-W41,W41)</f>
        <v>0.94591438888569</v>
      </c>
      <c r="Y42">
        <f>AVERAGE(X42,X43)</f>
        <v>1.2154163636355586</v>
      </c>
      <c r="Z42">
        <f>Y42+Y43</f>
        <v>1.89182877777138</v>
      </c>
      <c r="AD42" t="str">
        <f>IF(AB8="Tab1 ",Check!AE7,AC38)</f>
        <v>HOME</v>
      </c>
      <c r="AE42" t="str">
        <f>IF(AND(AE41&gt;0,AF41&lt;0),"Home win",IF(AND(AE41&lt;0,AF41&gt;0),"Away win","Draw"))</f>
        <v>Draw</v>
      </c>
      <c r="AF42">
        <f>IF(AE41&lt;0,-AE41,AE41)</f>
        <v>0.8964484054847699</v>
      </c>
      <c r="AG42">
        <f>AVERAGE(AF42,AF43)</f>
        <v>1.202843740761775</v>
      </c>
      <c r="AH42">
        <f>AG42+AG43</f>
        <v>1.79289681096955</v>
      </c>
      <c r="AL42" t="e">
        <f>IF(AJ8="Tab1 ",Check!AM7,AK38)</f>
        <v>#N/A</v>
      </c>
      <c r="AM42" t="e">
        <f>IF(AND(AM41&gt;0,AN41&lt;0),"Home win",IF(AND(AM41&lt;0,AN41&gt;0),"Away win","Draw"))</f>
        <v>#N/A</v>
      </c>
      <c r="AN42" t="e">
        <f>IF(AM41&lt;0,-AM41,AM41)</f>
        <v>#N/A</v>
      </c>
      <c r="AO42" t="e">
        <f>AVERAGE(AN42,AN43)</f>
        <v>#N/A</v>
      </c>
      <c r="AP42" t="e">
        <f>AO42+AO43</f>
        <v>#N/A</v>
      </c>
    </row>
    <row r="43" spans="8:8" ht="15.75" customHeight="1">
      <c r="F43" t="b">
        <f>IF(AND(G40="away",OR(I43&gt;0.7,I43&lt;-0.1),F38="Both Tabs"),"away",IF(AND(G40="home",OR(I43&gt;0.7,I43&lt;-0.1),F38="Both Tabs"),"home"))</f>
        <v>0</v>
      </c>
      <c r="G43">
        <f>IF(G42="home win",IF(I41&lt;0,-I41,I41),IF(G42="draw",IF(I41&lt;0,-I41,I41),IF(G42="away win",IF(I41&lt;0,-I41,I41))))</f>
        <v>0.6127906705540099</v>
      </c>
      <c r="H43">
        <f>IF(H41&lt;0,-H41,H41)</f>
        <v>1.50923907603878</v>
      </c>
      <c r="I43">
        <f>I42-G43</f>
        <v>0.59005307020777</v>
      </c>
      <c r="N43" t="b">
        <f>IF(AND(O40="away",OR(Q43&gt;0.7,Q43&lt;-0.1),N38="Both Tabs"),"away",IF(AND(O40="home",OR(Q43&gt;0.7,Q43&lt;-0.1),N38="Both Tabs"),"home"))</f>
        <v>0</v>
      </c>
      <c r="O43">
        <f>IF(O42="home win",IF(Q41&lt;0,-Q41,Q41),IF(O42="draw",IF(Q41&lt;0,-Q41,Q41),IF(O42="away win",IF(Q41&lt;0,-Q41,Q41))))</f>
        <v>0.5390039494997401</v>
      </c>
      <c r="P43">
        <f>IF(P41&lt;0,-P41,P41)</f>
        <v>1.4849183383854272</v>
      </c>
      <c r="Q43">
        <f>Q42-O43</f>
        <v>0.67641241413582</v>
      </c>
      <c r="W43">
        <f>IF(W42="home win",IF(Y41&lt;0,-Y41,Y41),IF(W42="draw",IF(Y41&lt;0,-Y41,Y41),IF(W42="away win",IF(Y41&lt;0,-Y41,Y41))))</f>
        <v>0.5390039494997401</v>
      </c>
      <c r="X43">
        <f>IF(X41&lt;0,-X41,X41)</f>
        <v>1.4849183383854272</v>
      </c>
      <c r="Y43">
        <f>Y42-W43</f>
        <v>0.67641241413582</v>
      </c>
      <c r="AE43">
        <f>IF(AE42="home win",IF(AG41&lt;0,-AG41,AG41),IF(AE42="draw",IF(AG41&lt;0,-AG41,AG41),IF(AE42="away win",IF(AG41&lt;0,-AG41,AG41))))</f>
        <v>0.6127906705540099</v>
      </c>
      <c r="AF43">
        <f>IF(AF41&lt;0,-AF41,AF41)</f>
        <v>1.50923907603878</v>
      </c>
      <c r="AG43">
        <f>AG42-AE43</f>
        <v>0.59005307020777</v>
      </c>
      <c r="AM43" t="e">
        <f>IF(AM42="home win",IF(AO41&lt;0,-AO41,AO41),IF(AM42="draw",IF(AO41&lt;0,-AO41,AO41),IF(AM42="away win",IF(AO41&lt;0,-AO41,AO41))))</f>
        <v>#N/A</v>
      </c>
      <c r="AN43" t="e">
        <f>IF(AN41&lt;0,-AN41,AN41)</f>
        <v>#N/A</v>
      </c>
      <c r="AO43" t="e">
        <f>AO42-AM43</f>
        <v>#N/A</v>
      </c>
    </row>
    <row r="44" spans="8:8" ht="15.75" customHeight="1">
      <c r="F44" t="str">
        <f>IF(AND(F42="away",G42="away win",I44="D"),"ignore",IF(AND(F42="home",G42="home win",I44="D"),"ignore",IF(AND(F42="away",G42="away win",I44="B"),"Awin",IF(AND(F42="away",G42="away win",I44="B1"),"double away",IF(AND(F42="home",G42="home win",I44="B")," double home",IF(AND(F42="home",G42="home win",I44="B1"),"Hwin",IF(AND(F42="away",G42="away win",I44="A"),"Awin",IF(AND(F42="away",G42="away win",I44="A1"),"double away",IF(AND(F42="home",G42="home win",I44="A1"),"Hwin",IF(AND(F42="home",G42="home win",I44="A")," double home",IF(AND(F42="home",G42="draw",I44="d"),"ignore",IF(AND(F42="home",G42="draw",I44="B"),"double home",IF(AND(F42="home",G42="draw",I44="A"),"double home",IF(AND(F42="home",G42="draw",I44="A1"),"2 handicap home",IF(AND(F42="home",G42="draw",I44="B1"),"2 handicap home",IF(AND(F42="away",G42="draw",I44="d"),"ignore",IF(AND(F42="away",G42="draw",I44="B1"),"double away",IF(AND(F42="away",G42="draw",I44="A1"),"double away",IF(AND(F42="away",G42="draw",I44="B"),"2 HANDICAP AWAY",IF(AND(F42="away",G42="draw",I44="a"),"2 HANDICAP AWAY"))))))))))))))))))))</f>
        <v>double home</v>
      </c>
      <c r="G44">
        <f>G43-H44</f>
        <v>0.02273760034624006</v>
      </c>
      <c r="H44">
        <f>IF(I43&lt;0,-I43,I43)</f>
        <v>0.59005307020777</v>
      </c>
      <c r="I44" t="str">
        <f>IF(AND(I43&lt;0.5,I43&gt;-0.5),"D",IF(AND(I43&lt;1,I43&gt;0.5),"B",IF(AND(I43&lt;-0.5,I43&gt;-1),"B1",IF(I43&gt;1,"A","A1"))))</f>
        <v>B</v>
      </c>
      <c r="N44" t="str">
        <f>IF(AND(N42="away",O42="away win",Q44="D"),"ignore",IF(AND(N42="home",O42="home win",Q44="D"),"ignore",IF(AND(N42="away",O42="away win",Q44="B"),"Awin",IF(AND(N42="away",O42="away win",Q44="B1"),"double away",IF(AND(N42="home",O42="home win",Q44="B")," double home",IF(AND(N42="home",O42="home win",Q44="B1"),"Hwin",IF(AND(N42="away",O42="away win",Q44="A"),"Awin",IF(AND(N42="away",O42="away win",Q44="A1"),"double away",IF(AND(N42="home",O42="home win",Q44="A1"),"Hwin",IF(AND(N42="home",O42="home win",Q44="A")," double home",IF(AND(N42="home",O42="draw",Q44="d"),"ignore",IF(AND(N42="home",O42="draw",Q44="B"),"double home",IF(AND(N42="home",O42="draw",Q44="A"),"double home",IF(AND(N42="home",O42="draw",Q44="A1"),"2 handicap home",IF(AND(N42="home",O42="draw",Q44="B1"),"2 handicap home",IF(AND(N42="away",O42="draw",Q44="d"),"ignore",IF(AND(N42="away",O42="draw",Q44="B1"),"double away",IF(AND(N42="away",O42="draw",Q44="A1"),"double away",IF(AND(N42="away",O42="draw",Q44="B"),"2 HANDICAP AWAY",IF(AND(N42="away",O42="draw",Q44="a"),"2 HANDICAP AWAY"))))))))))))))))))))</f>
        <v>2 HANDICAP AWAY</v>
      </c>
      <c r="O44">
        <f>O43-P44</f>
        <v>-0.13740846463608003</v>
      </c>
      <c r="P44">
        <f>IF(Q43&lt;0,-Q43,Q43)</f>
        <v>0.67641241413582</v>
      </c>
      <c r="Q44" t="str">
        <f>IF(AND(Q43&lt;0.5,Q43&gt;-0.5),"D",IF(AND(Q43&lt;1,Q43&gt;0.5),"B",IF(AND(Q43&lt;-0.5,Q43&gt;-1),"B1",IF(Q43&gt;1,"A","A1"))))</f>
        <v>B</v>
      </c>
      <c r="V44" t="str">
        <f>IF(AND(V42="away",W42="away win",Y44="D"),"ignore",IF(AND(V42="home",W42="home win",Y44="D"),"ignore",IF(AND(V42="away",W42="away win",Y44="B"),"Awin",IF(AND(V42="away",W42="away win",Y44="B1"),"double away",IF(AND(V42="home",W42="home win",Y44="B")," double home",IF(AND(V42="home",W42="home win",Y44="B1"),"Hwin",IF(AND(V42="away",W42="away win",Y44="A"),"Awin",IF(AND(V42="away",W42="away win",Y44="A1"),"double away",IF(AND(V42="home",W42="home win",Y44="A1"),"Hwin",IF(AND(V42="home",W42="home win",Y44="A")," double home",IF(AND(V42="home",W42="draw",Y44="d"),"ignore",IF(AND(V42="home",W42="draw",Y44="B"),"double home",IF(AND(V42="home",W42="draw",Y44="A"),"double home",IF(AND(V42="home",W42="draw",Y44="A1"),"2 handicap home",IF(AND(V42="home",W42="draw",Y44="B1"),"2 handicap home",IF(AND(V42="away",W42="draw",Y44="d"),"ignore",IF(AND(V42="away",W42="draw",Y44="B1"),"double away",IF(AND(V42="away",W42="draw",Y44="A1"),"double away",IF(AND(V42="away",W42="draw",Y44="B"),"2 HANDICAP AWAY",IF(AND(V42="away",W42="draw",Y44="a"),"2 HANDICAP AWAY"))))))))))))))))))))</f>
        <v>2 HANDICAP AWAY</v>
      </c>
      <c r="W44">
        <f>W43-X44</f>
        <v>-0.13740846463608003</v>
      </c>
      <c r="X44">
        <f>IF(Y43&lt;0,-Y43,Y43)</f>
        <v>0.67641241413582</v>
      </c>
      <c r="Y44" t="str">
        <f>IF(AND(Y43&lt;0.5,Y43&gt;-0.5),"D",IF(AND(Y43&lt;1,Y43&gt;0.5),"B",IF(AND(Y43&lt;-0.5,Y43&gt;-1),"B1",IF(Y43&gt;1,"A","A1"))))</f>
        <v>B</v>
      </c>
      <c r="AD44" t="str">
        <f>IF(AND(AD42="away",AE42="away win",AG44="D"),"ignore",IF(AND(AD42="home",AE42="home win",AG44="D"),"ignore",IF(AND(AD42="away",AE42="away win",AG44="B"),"Awin",IF(AND(AD42="away",AE42="away win",AG44="B1"),"double away",IF(AND(AD42="home",AE42="home win",AG44="B")," double home",IF(AND(AD42="home",AE42="home win",AG44="B1"),"Hwin",IF(AND(AD42="away",AE42="away win",AG44="A"),"Awin",IF(AND(AD42="away",AE42="away win",AG44="A1"),"double away",IF(AND(AD42="home",AE42="home win",AG44="A1"),"Hwin",IF(AND(AD42="home",AE42="home win",AG44="A")," double home",IF(AND(AD42="home",AE42="draw",AG44="d"),"ignore",IF(AND(AD42="home",AE42="draw",AG44="B"),"double home",IF(AND(AD42="home",AE42="draw",AG44="A"),"double home",IF(AND(AD42="home",AE42="draw",AG44="A1"),"2 handicap home",IF(AND(AD42="home",AE42="draw",AG44="B1"),"2 handicap home",IF(AND(AD42="away",AE42="draw",AG44="d"),"ignore",IF(AND(AD42="away",AE42="draw",AG44="B1"),"double away",IF(AND(AD42="away",AE42="draw",AG44="A1"),"double away",IF(AND(AD42="away",AE42="draw",AG44="B"),"2 HANDICAP AWAY",IF(AND(AD42="away",AE42="draw",AG44="a"),"2 HANDICAP AWAY"))))))))))))))))))))</f>
        <v>double home</v>
      </c>
      <c r="AE44">
        <f>AE43-AF44</f>
        <v>0.02273760034624006</v>
      </c>
      <c r="AF44">
        <f>IF(AG43&lt;0,-AG43,AG43)</f>
        <v>0.59005307020777</v>
      </c>
      <c r="AG44" t="str">
        <f>IF(AND(AG43&lt;0.5,AG43&gt;-0.5),"D",IF(AND(AG43&lt;1,AG43&gt;0.5),"B",IF(AND(AG43&lt;-0.5,AG43&gt;-1),"B1",IF(AG43&gt;1,"A","A1"))))</f>
        <v>B</v>
      </c>
      <c r="AL44" t="e">
        <f>IF(AND(AL42="away",AM42="away win",AO44="D"),"ignore",IF(AND(AL42="home",AM42="home win",AO44="D"),"ignore",IF(AND(AL42="away",AM42="away win",AO44="B"),"Awin",IF(AND(AL42="away",AM42="away win",AO44="B1"),"double away",IF(AND(AL42="home",AM42="home win",AO44="B")," double home",IF(AND(AL42="home",AM42="home win",AO44="B1"),"Hwin",IF(AND(AL42="away",AM42="away win",AO44="A"),"Awin",IF(AND(AL42="away",AM42="away win",AO44="A1"),"double away",IF(AND(AL42="home",AM42="home win",AO44="A1"),"Hwin",IF(AND(AL42="home",AM42="home win",AO44="A")," double home",IF(AND(AL42="home",AM42="draw",AO44="d"),"ignore",IF(AND(AL42="home",AM42="draw",AO44="B"),"double home",IF(AND(AL42="home",AM42="draw",AO44="A"),"double home",IF(AND(AL42="home",AM42="draw",AO44="A1"),"2 handicap home",IF(AND(AL42="home",AM42="draw",AO44="B1"),"2 handicap home",IF(AND(AL42="away",AM42="draw",AO44="d"),"ignore",IF(AND(AL42="away",AM42="draw",AO44="B1"),"double away",IF(AND(AL42="away",AM42="draw",AO44="A1"),"double away",IF(AND(AL42="away",AM42="draw",AO44="B"),"2 HANDICAP AWAY",IF(AND(AL42="away",AM42="draw",AO44="a"),"2 HANDICAP AWAY"))))))))))))))))))))</f>
        <v>#N/A</v>
      </c>
      <c r="AM44" t="e">
        <f>AM43-AN44</f>
        <v>#N/A</v>
      </c>
      <c r="AN44" t="e">
        <f>IF(AO43&lt;0,-AO43,AO43)</f>
        <v>#N/A</v>
      </c>
      <c r="AO44" t="e">
        <f>IF(AND(AO43&lt;0.5,AO43&gt;-0.5),"D",IF(AND(AO43&lt;1,AO43&gt;0.5),"B",IF(AND(AO43&lt;-0.5,AO43&gt;-1),"B1",IF(AO43&gt;1,"A","A1"))))</f>
        <v>#N/A</v>
      </c>
    </row>
    <row r="45" spans="8:8" ht="15.75" customHeight="1">
      <c r="G45" t="str">
        <f>IF(AND(I41&lt;0,I43&lt;0,H46&lt;1.2),"under",IF(H46&lt;0.35,"u2.5",IF(H46&lt;0.66,"u 3.5","not visible")))</f>
        <v>u2.5</v>
      </c>
      <c r="H45">
        <f>MAX(G44,H44)</f>
        <v>0.59005307020777</v>
      </c>
      <c r="I45" t="str">
        <f>IF(AND(I41&lt;0,I43&gt;0,H45=H44),"over",IF(AND(I41&lt;0,I43&lt;0,H45=G44),"over +",IF(AND(I41&gt;0,I43&gt;0,G44=H45),"under","not visible")))</f>
        <v>over</v>
      </c>
      <c r="O45" t="str">
        <f>IF(AND(Q41&lt;0,Q43&lt;0,P46&lt;1.2),"under",IF(P46&lt;0.35,"u2.5",IF(P46&lt;0.66,"u 3.5","not visible")))</f>
        <v>u2.5</v>
      </c>
      <c r="P45">
        <f>MAX(O44,P44)</f>
        <v>0.67641241413582</v>
      </c>
      <c r="Q45" t="str">
        <f>IF(AND(Q41&lt;0,Q43&gt;0,P45=P44),"over",IF(AND(Q41&lt;0,Q43&lt;0,P45=O44),"over +",IF(AND(Q41&gt;0,Q43&gt;0,O44=P45),"under","not visible")))</f>
        <v>over</v>
      </c>
      <c r="W45" t="str">
        <f>IF(AND(Y41&lt;0,Y43&lt;0,X46&lt;1.2),"under",IF(X46&lt;0.35,"u2.5",IF(X46&lt;0.66,"u 3.5","not visible")))</f>
        <v>u2.5</v>
      </c>
      <c r="X45">
        <f>MAX(W44,X44)</f>
        <v>0.67641241413582</v>
      </c>
      <c r="Y45" t="str">
        <f>IF(AND(Y41&lt;0,Y43&gt;0,X45=X44),"over",IF(AND(Y41&lt;0,Y43&lt;0,X45=W44),"over +",IF(AND(Y41&gt;0,Y43&gt;0,W44=X45),"under","not visible")))</f>
        <v>over</v>
      </c>
      <c r="AE45" t="str">
        <f>IF(AND(AG41&lt;0,AG43&lt;0,AF46&lt;1.2),"under",IF(AF46&lt;0.35,"u2.5",IF(AF46&lt;0.66,"u 3.5","not visible")))</f>
        <v>u2.5</v>
      </c>
      <c r="AF45">
        <f>MAX(AE44,AF44)</f>
        <v>0.59005307020777</v>
      </c>
      <c r="AG45" t="str">
        <f>IF(AND(AG41&lt;0,AG43&gt;0,AF45=AF44),"over",IF(AND(AG41&lt;0,AG43&lt;0,AF45=AE44),"over +",IF(AND(AG41&gt;0,AG43&gt;0,AE44=AF45),"under","not visible")))</f>
        <v>over</v>
      </c>
      <c r="AM45" t="e">
        <f>IF(AND(AO41&lt;0,AO43&lt;0,AN46&lt;1.2),"under",IF(AN46&lt;0.35,"u2.5",IF(AN46&lt;0.66,"u 3.5","not visible")))</f>
        <v>#N/A</v>
      </c>
      <c r="AN45" t="e">
        <f>MAX(AM44,AN44)</f>
        <v>#N/A</v>
      </c>
      <c r="AO45" t="e">
        <f>IF(AND(AO41&lt;0,AO43&gt;0,AN45=AN44),"over",IF(AND(AO41&lt;0,AO43&lt;0,AN45=AM44),"over +",IF(AND(AO41&gt;0,AO43&gt;0,AM44=AN45),"under","not visible")))</f>
        <v>#N/A</v>
      </c>
    </row>
    <row r="46" spans="8:8" ht="15.75" customHeight="1">
      <c r="G46" t="str">
        <f>IF(AND(I42&lt;0.7,H47&gt;0,H47&lt;0.5,J42&lt;1,J42&gt;0.15),"u2.5","o 1.5")</f>
        <v>o 1.5</v>
      </c>
      <c r="H46">
        <f>IF(G44&lt;0,-G44,G44)</f>
        <v>0.02273760034624006</v>
      </c>
      <c r="I46" t="str">
        <f>IF(AND(G46="o 1.5",OR(I45="over",I45="over +")),"o1.5","Under")</f>
        <v>o1.5</v>
      </c>
      <c r="O46" t="str">
        <f>IF(AND(Q42&lt;0.7,P47&gt;0,P47&lt;0.5,R42&lt;1,R42&gt;0.15),"u2.5","o 1.5")</f>
        <v>o 1.5</v>
      </c>
      <c r="P46">
        <f>IF(O44&lt;0,-O44,O44)</f>
        <v>0.13740846463608003</v>
      </c>
      <c r="Q46" t="str">
        <f>IF(AND(O46="o 1.5",OR(Q45="over",Q45="over +")),"o1.5","Under")</f>
        <v>o1.5</v>
      </c>
      <c r="W46" t="str">
        <f>IF(AND(Y42&lt;0.7,X47&gt;0,X47&lt;0.5,Z42&lt;1,Z42&gt;0.15),"u2.5","o 1.5")</f>
        <v>o 1.5</v>
      </c>
      <c r="X46">
        <f>IF(W44&lt;0,-W44,W44)</f>
        <v>0.13740846463608003</v>
      </c>
      <c r="Y46" t="str">
        <f>IF(AND(W46="o 1.5",OR(Y45="over",Y45="over +")),"o1.5","Under")</f>
        <v>o1.5</v>
      </c>
      <c r="AE46" t="str">
        <f>IF(AND(AG42&lt;0.7,AF47&gt;0,AF47&lt;0.5,AH42&lt;1,AH42&gt;0.15),"u2.5","o 1.5")</f>
        <v>o 1.5</v>
      </c>
      <c r="AF46">
        <f>IF(AE44&lt;0,-AE44,AE44)</f>
        <v>0.02273760034624006</v>
      </c>
      <c r="AG46" t="str">
        <f>IF(AND(AE46="o 1.5",OR(AG45="over",AG45="over +")),"o1.5","Under")</f>
        <v>o1.5</v>
      </c>
      <c r="AM46" t="e">
        <f>IF(AND(AO42&lt;0.7,AN47&gt;0,AN47&lt;0.5,AP42&lt;1,AP42&gt;0.15),"u2.5","o 1.5")</f>
        <v>#N/A</v>
      </c>
      <c r="AN46" t="e">
        <f>IF(AM44&lt;0,-AM44,AM44)</f>
        <v>#N/A</v>
      </c>
      <c r="AO46" t="e">
        <f>IF(AND(AM46="o 1.5",OR(AO45="over",AO45="over +")),"o1.5","Under")</f>
        <v>#N/A</v>
      </c>
    </row>
    <row r="47" spans="8:8" ht="19.5" customHeight="1">
      <c r="G47" t="str">
        <f>IF(AND(F44="ignore",G46="u2.5",G45="u2.5"),"u 3.5",IF(AND(G45="u2.5",G46="u2.5",F44="win"),"u3.5",IF(AND(G45="u2.5",G46="u2.5"),"u2.5",IF(AND(G45="u 3.5",G46="u2.5"),"o1.5",IF(AND(G46="o 1.5",G45="u2.5"),"u3.5",IF(AND(G46="o 1.5",G45="u 3.5"),"u3.5","not available"))))))</f>
        <v>u3.5</v>
      </c>
      <c r="H47">
        <f>I42-H46</f>
        <v>1.18010614041554</v>
      </c>
      <c r="O47" t="str">
        <f>IF(AND(N44="ignore",O46="u2.5",O45="u2.5"),"u 3.5",IF(AND(O45="u2.5",O46="u2.5",N44="win"),"u3.5",IF(AND(O45="u2.5",O46="u2.5"),"u2.5",IF(AND(O45="u 3.5",O46="u2.5"),"o1.5",IF(AND(O46="o 1.5",O45="u2.5"),"u3.5",IF(AND(O46="o 1.5",O45="u 3.5"),"u3.5","not available"))))))</f>
        <v>u3.5</v>
      </c>
      <c r="P47">
        <f>Q42-P46</f>
        <v>1.07800789899948</v>
      </c>
      <c r="W47" t="str">
        <f>IF(AND(V44="ignore",W46="u2.5",W45="u2.5"),"u 3.5",IF(AND(W45="u2.5",W46="u2.5",V44="win"),"u3.5",IF(AND(W45="u2.5",W46="u2.5"),"u2.5",IF(AND(W45="u 3.5",W46="u2.5"),"o1.5",IF(AND(W46="o 1.5",W45="u2.5"),"u3.5",IF(AND(W46="o 1.5",W45="u 3.5"),"u3.5","not available"))))))</f>
        <v>u3.5</v>
      </c>
      <c r="X47">
        <f>Y42-X46</f>
        <v>1.07800789899948</v>
      </c>
      <c r="AE47" t="str">
        <f>IF(AND(AD44="ignore",AE46="u2.5",AE45="u2.5"),"u 3.5",IF(AND(AE45="u2.5",AE46="u2.5",AD44="win"),"u3.5",IF(AND(AE45="u2.5",AE46="u2.5"),"u2.5",IF(AND(AE45="u 3.5",AE46="u2.5"),"o1.5",IF(AND(AE46="o 1.5",AE45="u2.5"),"u3.5",IF(AND(AE46="o 1.5",AE45="u 3.5"),"u3.5","not available"))))))</f>
        <v>u3.5</v>
      </c>
      <c r="AF47">
        <f>AG42-AF46</f>
        <v>1.18010614041554</v>
      </c>
      <c r="AM47" t="e">
        <f>IF(AND(AL44="ignore",AM46="u2.5",AM45="u2.5"),"u 3.5",IF(AND(AM45="u2.5",AM46="u2.5",AL44="win"),"u3.5",IF(AND(AM45="u2.5",AM46="u2.5"),"u2.5",IF(AND(AM45="u 3.5",AM46="u2.5"),"o1.5",IF(AND(AM46="o 1.5",AM45="u2.5"),"u3.5",IF(AND(AM46="o 1.5",AM45="u 3.5"),"u3.5","not available"))))))</f>
        <v>#N/A</v>
      </c>
      <c r="AN47" t="e">
        <f>AO42-AN46</f>
        <v>#N/A</v>
      </c>
    </row>
    <row r="48" spans="8:8" ht="15.75" customHeight="1">
      <c r="G48" t="str">
        <f>IF(AND(G45="u 3.5",G47="u3.5"),"not available",IF(AND(F44="ignore",G45="u2.5",G47="u 3.5"),"u4.5",IF(AND(G45="u2.5",G47="u3.5"),"u4.5",G45)))</f>
        <v>u4.5</v>
      </c>
      <c r="O48" t="str">
        <f>IF(AND(O45="u 3.5",O47="u3.5"),"not available",IF(AND(N44="ignore",O45="u2.5",O47="u 3.5"),"u4.5",IF(AND(O45="u2.5",O47="u3.5"),"u4.5",O45)))</f>
        <v>u4.5</v>
      </c>
      <c r="W48" t="str">
        <f>IF(AND(W45="u 3.5",W47="u3.5"),"not available",IF(AND(V44="ignore",W45="u2.5",W47="u 3.5"),"u4.5",IF(AND(W45="u2.5",W47="u3.5"),"u4.5",W45)))</f>
        <v>u4.5</v>
      </c>
      <c r="AE48" t="str">
        <f>IF(AND(AE45="u 3.5",AE47="u3.5"),"not available",IF(AND(AD44="ignore",AE45="u2.5",AE47="u 3.5"),"u4.5",IF(AND(AE45="u2.5",AE47="u3.5"),"u4.5",AE45)))</f>
        <v>u4.5</v>
      </c>
      <c r="AM48" t="e">
        <f>IF(AND(AM45="u 3.5",AM47="u3.5"),"not available",IF(AND(AL44="ignore",AM45="u2.5",AM47="u 3.5"),"u4.5",IF(AND(AM45="u2.5",AM47="u3.5"),"u4.5",AM45)))</f>
        <v>#N/A</v>
      </c>
    </row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mergeCells count="6">
    <mergeCell ref="A1:C8"/>
    <mergeCell ref="AN20:AQ20"/>
    <mergeCell ref="H20:K20"/>
    <mergeCell ref="P20:S20"/>
    <mergeCell ref="X20:AA20"/>
    <mergeCell ref="AF20:AI20"/>
  </mergeCells>
  <conditionalFormatting sqref="G40">
    <cfRule type="expression" priority="3" dxfId="55">
      <formula>$A$1="DON’T PLAY THIS GAME"</formula>
    </cfRule>
  </conditionalFormatting>
  <conditionalFormatting sqref="O40">
    <cfRule type="expression" priority="5" dxfId="56">
      <formula>$A$1="DON’T PLAY THIS GAME"</formula>
    </cfRule>
  </conditionalFormatting>
  <conditionalFormatting sqref="AM40">
    <cfRule type="expression" priority="4" dxfId="57">
      <formula>$A$1="DON’T PLAY THIS GAME"</formula>
    </cfRule>
  </conditionalFormatting>
  <conditionalFormatting sqref="AE40">
    <cfRule type="expression" priority="2" dxfId="58">
      <formula>$A$1="DON’T PLAY THIS GAME"</formula>
    </cfRule>
  </conditionalFormatting>
  <conditionalFormatting sqref="A1:AT39 A40:F40 A41:AT100 H40:N40 P40:V40 X40:AD40 AF40:AL40 AN40:AT40">
    <cfRule type="expression" priority="6" dxfId="59">
      <formula>$A$1="DON’T PLAY THIS GAME"</formula>
    </cfRule>
  </conditionalFormatting>
  <conditionalFormatting sqref="W40">
    <cfRule type="expression" priority="1" dxfId="60">
      <formula>$A$1="DON’T PLAY THIS GAME"</formula>
    </cfRule>
  </conditionalFormatting>
  <pageMargins left="0.7" right="0.7" top="0.75" bottom="0.75" header="0.0" footer="0.0"/>
  <pageSetup paperSize="9" fitToWidth="0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dimension ref="A1:TX27"/>
  <sheetViews>
    <sheetView workbookViewId="0">
      <selection activeCell="A1" sqref="A1"/>
    </sheetView>
  </sheetViews>
  <sheetFormatPr defaultRowHeight="15.0" customHeight="1" defaultColWidth="14"/>
  <cols>
    <col min="1" max="4" customWidth="1" width="10.0" style="0"/>
    <col min="5" max="5" customWidth="1" width="17.0" style="0"/>
    <col min="6" max="6" customWidth="1" width="13.4296875" style="0"/>
    <col min="7" max="7" customWidth="1" width="11.859375" style="0"/>
    <col min="8" max="8" customWidth="1" width="11.136719" style="0"/>
    <col min="9" max="12" customWidth="1" width="10.0" style="0"/>
    <col min="13" max="13" customWidth="1" width="18.429688" style="0"/>
    <col min="14" max="15" customWidth="1" width="10.0" style="0"/>
    <col min="16" max="16" customWidth="1" width="13.2890625" style="0"/>
    <col min="17" max="28" customWidth="1" width="10.0" style="0"/>
    <col min="29" max="29" customWidth="1" width="16.0" style="0"/>
    <col min="30" max="36" customWidth="1" width="10.0" style="0"/>
    <col min="37" max="37" customWidth="1" width="15.566406" style="0"/>
    <col min="38" max="40" customWidth="1" width="10.0" style="0"/>
  </cols>
  <sheetData>
    <row r="3" spans="8:8" ht="15.0">
      <c r="F3">
        <v>1.0</v>
      </c>
      <c r="G3" s="260" t="s">
        <v>133</v>
      </c>
      <c r="M3">
        <f>F3+1</f>
        <v>2.0</v>
      </c>
      <c r="N3" s="260" t="s">
        <v>133</v>
      </c>
      <c r="U3">
        <v>3.0</v>
      </c>
      <c r="V3" s="260" t="s">
        <v>133</v>
      </c>
      <c r="AC3">
        <v>4.0</v>
      </c>
      <c r="AD3" s="260" t="s">
        <v>133</v>
      </c>
      <c r="AK3">
        <v>5.0</v>
      </c>
      <c r="AL3" s="260" t="s">
        <v>133</v>
      </c>
    </row>
    <row r="4" spans="8:8" ht="15.0">
      <c r="E4" s="261" t="str">
        <f>Sheet3!E2</f>
        <v> Monterey Bay </v>
      </c>
      <c r="M4" s="261" t="str">
        <f>Sheet3!M2</f>
        <v> Sporting JAX </v>
      </c>
      <c r="U4" s="261" t="str">
        <f>Sheet3!U2</f>
        <v> Sporting JAX </v>
      </c>
      <c r="AC4" s="261" t="str">
        <f>Sheet3!AC2</f>
        <v> Monterey Bay </v>
      </c>
      <c r="AK4" s="261" t="str">
        <f>Sheet3!AK2</f>
        <v> Galway Utd </v>
      </c>
    </row>
    <row r="5" spans="8:8" ht="15.0">
      <c r="E5" s="261" t="s">
        <v>134</v>
      </c>
      <c r="F5" s="205" t="s">
        <v>112</v>
      </c>
      <c r="G5" s="262" t="str">
        <f>Sheet3!H3</f>
        <v>High scoring</v>
      </c>
      <c r="M5" s="261" t="s">
        <v>134</v>
      </c>
      <c r="N5" s="205" t="s">
        <v>112</v>
      </c>
      <c r="O5" s="262" t="str">
        <f>Sheet3!P3</f>
        <v>High scoring</v>
      </c>
      <c r="U5" s="261" t="s">
        <v>134</v>
      </c>
      <c r="V5" s="205" t="s">
        <v>112</v>
      </c>
      <c r="W5" s="262" t="str">
        <f>Sheet3!X3</f>
        <v>High scoring</v>
      </c>
      <c r="AC5" s="261" t="s">
        <v>134</v>
      </c>
      <c r="AD5" s="205" t="s">
        <v>112</v>
      </c>
      <c r="AE5" s="262" t="str">
        <f>Sheet3!AF3</f>
        <v>High scoring</v>
      </c>
      <c r="AK5" s="261" t="s">
        <v>134</v>
      </c>
      <c r="AL5" s="205" t="s">
        <v>112</v>
      </c>
      <c r="AM5" s="262" t="str">
        <f>Sheet3!AN3</f>
        <v>High scoring</v>
      </c>
    </row>
    <row r="6" spans="8:8" ht="15.0">
      <c r="E6" s="261" t="str">
        <f>Sheet3!E4</f>
        <v> Sporting JAX </v>
      </c>
      <c r="F6" s="263" t="str">
        <f>Sheet3!D7</f>
        <v>SUPPORT</v>
      </c>
      <c r="G6" s="264" t="str">
        <f>Sheet3!D8</f>
        <v>Tab1 </v>
      </c>
      <c r="H6" s="257" t="str">
        <f>Sheet3!D9</f>
        <v> </v>
      </c>
      <c r="M6" s="261" t="str">
        <f>Sheet3!M4</f>
        <v> Monterey Bay </v>
      </c>
      <c r="N6" s="263" t="str">
        <f>Sheet3!L7</f>
        <v>SUPPORT</v>
      </c>
      <c r="O6" s="264" t="str">
        <f>Sheet3!L8</f>
        <v>Tab2</v>
      </c>
      <c r="P6" s="257" t="str">
        <f>Sheet3!L9</f>
        <v> </v>
      </c>
      <c r="U6" s="261" t="str">
        <f>Sheet3!U4</f>
        <v> Monterey Bay </v>
      </c>
      <c r="V6" s="263" t="str">
        <f>Sheet3!T7</f>
        <v>SUPPORT</v>
      </c>
      <c r="W6" s="264" t="str">
        <f>Sheet3!T8</f>
        <v>Tab2</v>
      </c>
      <c r="X6" s="257" t="str">
        <f>Sheet3!T9</f>
        <v> </v>
      </c>
      <c r="AC6" s="261" t="str">
        <f>Sheet3!AC4</f>
        <v> Sporting JAX </v>
      </c>
      <c r="AD6" s="263" t="str">
        <f>Sheet3!AB7</f>
        <v>SUPPORT</v>
      </c>
      <c r="AE6" s="264" t="str">
        <f>Sheet3!AB8</f>
        <v>Tab1 </v>
      </c>
      <c r="AF6" s="257" t="str">
        <f>Sheet3!AB9</f>
        <v> </v>
      </c>
      <c r="AK6" s="261" t="str">
        <f>Sheet3!AK4</f>
        <v> Cork City </v>
      </c>
      <c r="AL6" s="263" t="e">
        <f>Sheet3!AJ7</f>
        <v>#N/A</v>
      </c>
      <c r="AM6" s="264" t="e">
        <f>Sheet3!AJ8</f>
        <v>#N/A</v>
      </c>
      <c r="AN6" s="257" t="e">
        <f>Sheet3!AJ9</f>
        <v>#N/A</v>
      </c>
    </row>
    <row r="7" spans="8:8" ht="15.0">
      <c r="D7" s="233" t="str">
        <f>Sheet3!C25</f>
        <v> </v>
      </c>
      <c r="F7" s="205" t="s">
        <v>135</v>
      </c>
      <c r="G7" s="262" t="str">
        <f>IF(Sheet3!G5&gt;0,"HOME","AWAY")</f>
        <v>HOME</v>
      </c>
      <c r="H7" t="str">
        <f>Sheet3!H19</f>
        <v>MEDIUM</v>
      </c>
      <c r="L7" s="233" t="str">
        <f>Sheet3!K25</f>
        <v> </v>
      </c>
      <c r="N7" s="205" t="s">
        <v>135</v>
      </c>
      <c r="O7" s="262" t="str">
        <f>IF(Sheet3!O5&gt;0,"HOME","AWAY")</f>
        <v>AWAY</v>
      </c>
      <c r="P7" t="str">
        <f>Sheet3!P19</f>
        <v>MEDIUM</v>
      </c>
      <c r="T7" s="233" t="str">
        <f>Sheet3!S25</f>
        <v> </v>
      </c>
      <c r="V7" s="205" t="s">
        <v>135</v>
      </c>
      <c r="W7" s="262" t="str">
        <f>IF(Sheet3!W5&gt;0,"HOME","AWAY")</f>
        <v>AWAY</v>
      </c>
      <c r="X7" t="str">
        <f>Sheet3!X19</f>
        <v>MEDIUM</v>
      </c>
      <c r="AB7" s="233" t="str">
        <f>Sheet3!AA25</f>
        <v> </v>
      </c>
      <c r="AD7" s="205" t="s">
        <v>135</v>
      </c>
      <c r="AE7" s="262" t="str">
        <f>IF(Sheet3!AE5&gt;0,"HOME","AWAY")</f>
        <v>HOME</v>
      </c>
      <c r="AF7" t="str">
        <f>Sheet3!AF19</f>
        <v>MEDIUM</v>
      </c>
      <c r="AJ7" s="233" t="e">
        <f>Sheet3!AI25</f>
        <v>#N/A</v>
      </c>
      <c r="AL7" s="205" t="s">
        <v>135</v>
      </c>
      <c r="AM7" s="262" t="e">
        <f>IF(Sheet3!AM5&gt;0,"HOME","AWAY")</f>
        <v>#N/A</v>
      </c>
      <c r="AN7" t="e">
        <f>Sheet3!AN19</f>
        <v>#N/A</v>
      </c>
    </row>
    <row r="8" spans="8:8" ht="15.0">
      <c r="D8" s="221" t="s">
        <v>128</v>
      </c>
      <c r="E8" s="265" t="str">
        <f>Sheet3!D26</f>
        <v>CHECK OTHER</v>
      </c>
      <c r="F8" s="266"/>
      <c r="G8" s="267"/>
      <c r="L8" s="221" t="s">
        <v>128</v>
      </c>
      <c r="M8" s="265" t="str">
        <f>Sheet3!L26</f>
        <v>CHECK OTHER</v>
      </c>
      <c r="N8" s="266"/>
      <c r="O8" s="267"/>
      <c r="T8" s="221" t="s">
        <v>128</v>
      </c>
      <c r="U8" s="265" t="str">
        <f>Sheet3!T26</f>
        <v>CHECK OTHER</v>
      </c>
      <c r="V8" s="266"/>
      <c r="W8" s="267"/>
      <c r="AB8" s="221" t="s">
        <v>128</v>
      </c>
      <c r="AC8" s="265" t="str">
        <f>Sheet3!AB26</f>
        <v>CHECK OTHER</v>
      </c>
      <c r="AD8" s="266"/>
      <c r="AE8" s="267"/>
      <c r="AJ8" s="221" t="s">
        <v>128</v>
      </c>
      <c r="AK8" s="265" t="e">
        <f>Sheet3!AJ26</f>
        <v>#N/A</v>
      </c>
      <c r="AL8" s="266"/>
      <c r="AM8" s="267"/>
    </row>
    <row r="9" spans="8:8" ht="15.0">
      <c r="D9" s="221" t="s">
        <v>129</v>
      </c>
      <c r="E9" s="265" t="str">
        <f>Sheet3!D27</f>
        <v>CHECK ANOTHER</v>
      </c>
      <c r="F9" s="233" t="str">
        <f>Sheet3!E13</f>
        <v>MAIN PREDICT</v>
      </c>
      <c r="G9" s="262" t="str">
        <f>Sheet3!F44</f>
        <v>double home</v>
      </c>
      <c r="L9" s="221" t="s">
        <v>129</v>
      </c>
      <c r="M9" s="265" t="str">
        <f>Sheet3!L27</f>
        <v>CHECK ANOTHER</v>
      </c>
      <c r="N9" s="233" t="str">
        <f>Sheet3!M13</f>
        <v>MAIN PREDICT</v>
      </c>
      <c r="O9" s="262" t="str">
        <f>Sheet3!N44</f>
        <v>2 HANDICAP AWAY</v>
      </c>
      <c r="T9" s="221" t="s">
        <v>129</v>
      </c>
      <c r="U9" s="265" t="str">
        <f>Sheet3!T27</f>
        <v>CHECK ANOTHER</v>
      </c>
      <c r="V9" s="233" t="str">
        <f>Sheet3!U13</f>
        <v>MAIN PREDICT</v>
      </c>
      <c r="W9" s="262" t="str">
        <f>Sheet3!V44</f>
        <v>2 HANDICAP AWAY</v>
      </c>
      <c r="AB9" s="221" t="s">
        <v>129</v>
      </c>
      <c r="AC9" s="265" t="str">
        <f>Sheet3!AB27</f>
        <v>CHECK ANOTHER</v>
      </c>
      <c r="AD9" s="233" t="str">
        <f>Sheet3!AC13</f>
        <v>MAIN PREDICT</v>
      </c>
      <c r="AE9" s="262" t="str">
        <f>Sheet3!AD44</f>
        <v>double home</v>
      </c>
      <c r="AJ9" s="221" t="s">
        <v>129</v>
      </c>
      <c r="AK9" s="265" t="e">
        <f>Sheet3!AJ27</f>
        <v>#N/A</v>
      </c>
      <c r="AL9" s="233" t="str">
        <f>Sheet3!AK13</f>
        <v>MAIN PREDICT</v>
      </c>
      <c r="AM9" s="262" t="e">
        <f>Sheet3!AL44</f>
        <v>#N/A</v>
      </c>
    </row>
    <row r="10" spans="8:8" ht="15.0">
      <c r="D10" s="221" t="s">
        <v>130</v>
      </c>
      <c r="E10" s="265" t="str">
        <f>Sheet3!D28</f>
        <v>CHECK ANOTHER</v>
      </c>
      <c r="F10" s="233" t="str">
        <f>Sheet3!G13</f>
        <v>MAIN</v>
      </c>
      <c r="G10" s="262" t="str">
        <f>Sheet3!G48</f>
        <v>u4.5</v>
      </c>
      <c r="H10" t="str">
        <f>Sheet3!G47</f>
        <v>u3.5</v>
      </c>
      <c r="L10" s="221" t="s">
        <v>130</v>
      </c>
      <c r="M10" s="265" t="str">
        <f>Sheet3!L28</f>
        <v>u2.5L, u3.5H</v>
      </c>
      <c r="N10" s="233" t="str">
        <f>Sheet3!O13</f>
        <v>MAIN</v>
      </c>
      <c r="O10" s="262" t="str">
        <f>Sheet3!O48</f>
        <v>u4.5</v>
      </c>
      <c r="P10" t="str">
        <f>Sheet3!O47</f>
        <v>u3.5</v>
      </c>
      <c r="T10" s="221" t="s">
        <v>130</v>
      </c>
      <c r="U10" s="265" t="str">
        <f>Sheet3!T28</f>
        <v>u2.5L, u3.5H</v>
      </c>
      <c r="V10" s="233" t="str">
        <f>Sheet3!W13</f>
        <v>MAIN</v>
      </c>
      <c r="W10" s="262" t="str">
        <f>Sheet3!W48</f>
        <v>u4.5</v>
      </c>
      <c r="X10" t="str">
        <f>Sheet3!W46</f>
        <v>o 1.5</v>
      </c>
      <c r="AB10" s="221" t="s">
        <v>130</v>
      </c>
      <c r="AC10" s="265" t="str">
        <f>Sheet3!AB28</f>
        <v>CHECK ANOTHER</v>
      </c>
      <c r="AD10" s="233" t="str">
        <f>Sheet3!AE13</f>
        <v>MAIN</v>
      </c>
      <c r="AE10" s="262" t="str">
        <f>Sheet3!AE48</f>
        <v>u4.5</v>
      </c>
      <c r="AF10" t="str">
        <f>Sheet3!AE47</f>
        <v>u3.5</v>
      </c>
      <c r="AJ10" s="221" t="s">
        <v>130</v>
      </c>
      <c r="AK10" s="265" t="e">
        <f>Sheet3!AJ28</f>
        <v>#N/A</v>
      </c>
      <c r="AL10" s="233" t="str">
        <f>Sheet3!AM13</f>
        <v>MAIN</v>
      </c>
      <c r="AM10" s="262" t="e">
        <f>Sheet3!AM48</f>
        <v>#N/A</v>
      </c>
      <c r="AN10" t="e">
        <f>Sheet3!AM47</f>
        <v>#N/A</v>
      </c>
    </row>
    <row r="11" spans="8:8" ht="15.0">
      <c r="D11" s="221" t="s">
        <v>131</v>
      </c>
      <c r="E11" s="265" t="str">
        <f>Sheet3!D29</f>
        <v>CHECK ANOTHER</v>
      </c>
      <c r="F11" s="233" t="s">
        <v>136</v>
      </c>
      <c r="G11" s="262" t="str">
        <f>Sheet3!F38</f>
        <v>Both Tabs</v>
      </c>
      <c r="H11" t="str">
        <f>Sheet3!G19</f>
        <v/>
      </c>
      <c r="L11" s="221" t="s">
        <v>131</v>
      </c>
      <c r="M11" s="265" t="str">
        <f>Sheet3!L29</f>
        <v>CHECK ANOTHER</v>
      </c>
      <c r="N11" s="233" t="s">
        <v>136</v>
      </c>
      <c r="O11" s="262" t="str">
        <f>Sheet3!N38</f>
        <v>Both Tabs</v>
      </c>
      <c r="P11" t="str">
        <f>Sheet3!O19</f>
        <v/>
      </c>
      <c r="T11" s="221" t="s">
        <v>131</v>
      </c>
      <c r="U11" s="265" t="str">
        <f>Sheet3!T29</f>
        <v>CHECK ANOTHER</v>
      </c>
      <c r="V11" s="233" t="s">
        <v>136</v>
      </c>
      <c r="W11" s="262" t="str">
        <f>Sheet3!V38</f>
        <v>Both Tabs</v>
      </c>
      <c r="X11" t="str">
        <f>Sheet3!W19</f>
        <v/>
      </c>
      <c r="AB11" s="221" t="s">
        <v>131</v>
      </c>
      <c r="AC11" s="265" t="str">
        <f>Sheet3!AB29</f>
        <v>CHECK ANOTHER</v>
      </c>
      <c r="AD11" s="233" t="s">
        <v>136</v>
      </c>
      <c r="AE11" s="262" t="str">
        <f>Sheet3!AD38</f>
        <v>Both Tabs</v>
      </c>
      <c r="AF11" t="str">
        <f>Sheet3!AE19</f>
        <v/>
      </c>
      <c r="AJ11" s="221" t="s">
        <v>131</v>
      </c>
      <c r="AK11" s="265" t="e">
        <f>Sheet3!AJ29</f>
        <v>#N/A</v>
      </c>
      <c r="AL11" s="233" t="s">
        <v>136</v>
      </c>
      <c r="AM11" s="262" t="e">
        <f>Sheet3!AL38</f>
        <v>#N/A</v>
      </c>
      <c r="AN11" t="e">
        <f>Sheet3!AM19</f>
        <v>#N/A</v>
      </c>
    </row>
    <row r="12" spans="8:8" ht="15.0">
      <c r="D12" s="221" t="s">
        <v>132</v>
      </c>
      <c r="E12" s="265" t="str">
        <f>Sheet3!D30</f>
        <v>CHECK ANOTHER</v>
      </c>
      <c r="F12" s="233" t="s">
        <v>137</v>
      </c>
      <c r="G12" s="262" t="str">
        <f>Sheet3!H20</f>
        <v>Best TAB HOME</v>
      </c>
      <c r="L12" s="221" t="s">
        <v>132</v>
      </c>
      <c r="M12" s="265" t="str">
        <f>Sheet3!L30</f>
        <v>CHECK ANOTHER</v>
      </c>
      <c r="N12" s="233" t="s">
        <v>137</v>
      </c>
      <c r="O12" s="262" t="str">
        <f>Sheet3!P20</f>
        <v>Best TAB AWAY</v>
      </c>
      <c r="T12" s="221" t="s">
        <v>132</v>
      </c>
      <c r="U12" s="265" t="str">
        <f>Sheet3!T30</f>
        <v>CHECK ANOTHER</v>
      </c>
      <c r="V12" s="233" t="s">
        <v>137</v>
      </c>
      <c r="W12" s="262" t="str">
        <f>Sheet3!X20</f>
        <v>Best TAB AWAY</v>
      </c>
      <c r="AB12" s="221" t="s">
        <v>132</v>
      </c>
      <c r="AC12" s="265" t="str">
        <f>Sheet3!AB30</f>
        <v>CHECK ANOTHER</v>
      </c>
      <c r="AD12" s="233" t="s">
        <v>137</v>
      </c>
      <c r="AE12" s="262" t="str">
        <f>Sheet3!AF20</f>
        <v>Best TAB HOME</v>
      </c>
      <c r="AJ12" s="221" t="s">
        <v>132</v>
      </c>
      <c r="AK12" s="265" t="e">
        <f>Sheet3!AJ30</f>
        <v>#N/A</v>
      </c>
      <c r="AL12" s="233" t="s">
        <v>137</v>
      </c>
      <c r="AM12" s="262" t="e">
        <f>Sheet3!AN20</f>
        <v>#N/A</v>
      </c>
    </row>
    <row r="13" spans="8:8" ht="15.0">
      <c r="F13" s="257" t="str">
        <f>Sheet3!C31</f>
        <v>Under</v>
      </c>
      <c r="G13" s="268">
        <f>Sheet3!D32</f>
        <v>3.50000033333333</v>
      </c>
      <c r="H13" s="265" t="str">
        <f>Sheet3!F40</f>
        <v/>
      </c>
      <c r="N13" s="257" t="str">
        <f>Sheet3!K31</f>
        <v>over</v>
      </c>
      <c r="O13" s="268">
        <f>Sheet3!L32</f>
        <v>2.5</v>
      </c>
      <c r="P13" s="265" t="str">
        <f>Sheet3!N40</f>
        <v/>
      </c>
      <c r="V13" s="257" t="str">
        <f>Sheet3!S31</f>
        <v>over</v>
      </c>
      <c r="W13" s="268">
        <f>Sheet3!T32</f>
        <v>2.5</v>
      </c>
      <c r="X13" s="265" t="str">
        <f>Sheet3!V40</f>
        <v/>
      </c>
      <c r="AD13" s="257" t="str">
        <f>Sheet3!AA31</f>
        <v>over</v>
      </c>
      <c r="AE13" s="268">
        <f>Sheet3!AB32</f>
        <v>0.5</v>
      </c>
      <c r="AF13" s="265" t="str">
        <f>Sheet3!AD40</f>
        <v/>
      </c>
      <c r="AL13" s="257" t="e">
        <f>Sheet3!AI31</f>
        <v>#N/A</v>
      </c>
      <c r="AM13" s="268" t="e">
        <f>Sheet3!AJ32</f>
        <v>#N/A</v>
      </c>
      <c r="AN13" s="265" t="e">
        <f>Sheet3!AL40</f>
        <v>#N/A</v>
      </c>
    </row>
    <row r="18" spans="8:8" ht="15.0">
      <c r="G18" s="269" t="s">
        <v>138</v>
      </c>
      <c r="O18" s="269" t="s">
        <v>138</v>
      </c>
      <c r="W18" s="269" t="s">
        <v>138</v>
      </c>
      <c r="AE18" s="269" t="s">
        <v>138</v>
      </c>
      <c r="AM18" s="269" t="s">
        <v>138</v>
      </c>
    </row>
    <row r="19" spans="8:8" ht="15.0">
      <c r="E19" s="270" t="str">
        <f>Sheet3!E22</f>
        <v> Sporting JAX </v>
      </c>
      <c r="M19" s="270" t="str">
        <f>Sheet3!M22</f>
        <v> Monterey Bay </v>
      </c>
      <c r="U19" s="270" t="str">
        <f>Sheet3!U22</f>
        <v> Monterey Bay </v>
      </c>
      <c r="AC19" s="270" t="str">
        <f>Sheet3!AC22</f>
        <v> Sporting JAX </v>
      </c>
      <c r="AK19" s="270" t="str">
        <f>Sheet3!AK22</f>
        <v> Cork City </v>
      </c>
    </row>
    <row r="20" spans="8:8" ht="15.0">
      <c r="E20" s="270" t="s">
        <v>134</v>
      </c>
      <c r="F20" s="205" t="s">
        <v>112</v>
      </c>
      <c r="G20" t="str">
        <f>Sheet3!H23</f>
        <v>High scoring league</v>
      </c>
      <c r="M20" s="270" t="s">
        <v>134</v>
      </c>
      <c r="N20" s="205" t="s">
        <v>112</v>
      </c>
      <c r="O20" t="str">
        <f>Sheet3!P23</f>
        <v>High scoring league</v>
      </c>
      <c r="U20" s="270" t="s">
        <v>134</v>
      </c>
      <c r="V20" s="205" t="s">
        <v>112</v>
      </c>
      <c r="W20" t="str">
        <f>Sheet3!X23</f>
        <v>High scoring league</v>
      </c>
      <c r="AC20" s="270" t="s">
        <v>134</v>
      </c>
      <c r="AD20" s="205" t="s">
        <v>112</v>
      </c>
      <c r="AE20" t="str">
        <f>Sheet3!AF23</f>
        <v>High scoring league</v>
      </c>
      <c r="AK20" s="270" t="s">
        <v>134</v>
      </c>
      <c r="AL20" s="205" t="s">
        <v>112</v>
      </c>
      <c r="AM20" t="str">
        <f>Sheet3!AN23</f>
        <v>High scoring league</v>
      </c>
    </row>
    <row r="21" spans="8:8" ht="15.75" customHeight="1">
      <c r="E21" s="270" t="str">
        <f>Sheet3!E24</f>
        <v> Monterey Bay </v>
      </c>
      <c r="F21" s="263" t="str">
        <f>Sheet3!D7</f>
        <v>SUPPORT</v>
      </c>
      <c r="G21" s="257" t="str">
        <f>Sheet3!D8</f>
        <v>Tab1 </v>
      </c>
      <c r="H21" s="257" t="str">
        <f>Sheet3!D9</f>
        <v> </v>
      </c>
      <c r="M21" s="270" t="str">
        <f>Sheet3!M24</f>
        <v> Sporting JAX </v>
      </c>
      <c r="N21" s="263" t="str">
        <f>Sheet3!L7</f>
        <v>SUPPORT</v>
      </c>
      <c r="O21" s="257" t="str">
        <f>Sheet3!L8</f>
        <v>Tab2</v>
      </c>
      <c r="P21" s="257" t="str">
        <f>Sheet3!L9</f>
        <v> </v>
      </c>
      <c r="U21" s="270" t="str">
        <f>Sheet3!U24</f>
        <v> Sporting JAX </v>
      </c>
      <c r="V21" s="263" t="str">
        <f>Sheet3!T7</f>
        <v>SUPPORT</v>
      </c>
      <c r="W21" s="257" t="str">
        <f>Sheet3!T8</f>
        <v>Tab2</v>
      </c>
      <c r="X21" s="257" t="str">
        <f>Sheet3!T9</f>
        <v> </v>
      </c>
      <c r="AC21" s="270" t="str">
        <f>Sheet3!AC24</f>
        <v> Monterey Bay </v>
      </c>
      <c r="AD21" s="263" t="str">
        <f>Sheet3!AB7</f>
        <v>SUPPORT</v>
      </c>
      <c r="AE21" s="257" t="str">
        <f>Sheet3!AB8</f>
        <v>Tab1 </v>
      </c>
      <c r="AF21" s="257" t="str">
        <f>Sheet3!AB9</f>
        <v> </v>
      </c>
      <c r="AK21" s="270" t="str">
        <f>Sheet3!AK24</f>
        <v> Galway Utd </v>
      </c>
      <c r="AL21" s="263" t="e">
        <f>Sheet3!AJ7</f>
        <v>#N/A</v>
      </c>
      <c r="AM21" s="257" t="e">
        <f>Sheet3!AJ8</f>
        <v>#N/A</v>
      </c>
      <c r="AN21" s="257" t="e">
        <f>Sheet3!AJ9</f>
        <v>#N/A</v>
      </c>
    </row>
    <row r="22" spans="8:8" ht="15.75" customHeight="1">
      <c r="F22" s="205" t="s">
        <v>135</v>
      </c>
      <c r="G22" t="str">
        <f>IF(Sheet3!G25&gt;0,"HOME","AWAY")</f>
        <v>AWAY</v>
      </c>
      <c r="N22" s="205" t="s">
        <v>135</v>
      </c>
      <c r="O22" t="str">
        <f>IF(Sheet3!O25&gt;0,"HOME","AWAY")</f>
        <v>HOME</v>
      </c>
      <c r="V22" s="205" t="s">
        <v>135</v>
      </c>
      <c r="W22" t="str">
        <f>IF(Sheet3!W25&gt;0,"HOME","AWAY")</f>
        <v>HOME</v>
      </c>
      <c r="AD22" s="205" t="s">
        <v>135</v>
      </c>
      <c r="AE22" t="str">
        <f>IF(Sheet3!AE25&gt;0,"HOME","AWAY")</f>
        <v>AWAY</v>
      </c>
      <c r="AL22" s="205" t="s">
        <v>135</v>
      </c>
      <c r="AM22" t="e">
        <f>IF(Sheet3!AM25&gt;0,"HOME","AWAY")</f>
        <v>#N/A</v>
      </c>
    </row>
    <row r="23" spans="8:8" ht="15.75" customHeight="1">
      <c r="F23" s="266"/>
      <c r="G23" s="265"/>
      <c r="N23" s="266"/>
      <c r="O23" s="265"/>
      <c r="V23" s="266"/>
      <c r="W23" s="265"/>
      <c r="AD23" s="266"/>
      <c r="AE23" s="265"/>
      <c r="AL23" s="266"/>
      <c r="AM23" s="265"/>
    </row>
    <row r="24" spans="8:8" ht="15.75" customHeight="1">
      <c r="F24" s="233" t="str">
        <f>Sheet3!E33</f>
        <v>MAIN PREDICT</v>
      </c>
      <c r="G24" t="str">
        <f>Sheet3!F33</f>
        <v>don’t choose</v>
      </c>
      <c r="N24" s="233" t="str">
        <f>Sheet3!M33</f>
        <v>MAIN PREDICT</v>
      </c>
      <c r="O24" t="str">
        <f>Sheet3!N33</f>
        <v> A win</v>
      </c>
      <c r="V24" s="233" t="str">
        <f>Sheet3!U33</f>
        <v>MAIN PREDICT</v>
      </c>
      <c r="W24" t="str">
        <f>Sheet3!V33</f>
        <v> A win</v>
      </c>
      <c r="AD24" s="233" t="str">
        <f>Sheet3!AC33</f>
        <v>MAIN PREDICT</v>
      </c>
      <c r="AE24" t="str">
        <f>Sheet3!AD33</f>
        <v>don’t choose</v>
      </c>
      <c r="AL24" s="233" t="str">
        <f>Sheet3!AK33</f>
        <v>MAIN PREDICT</v>
      </c>
      <c r="AM24" t="e">
        <f>Sheet3!AL33</f>
        <v>#N/A</v>
      </c>
    </row>
    <row r="25" spans="8:8" ht="15.75" customHeight="1">
      <c r="F25" s="233" t="str">
        <f>Sheet3!G33</f>
        <v>MAIN</v>
      </c>
      <c r="G25" t="str">
        <f>Sheet3!H33</f>
        <v>Run</v>
      </c>
      <c r="H25" t="str">
        <f>Sheet3!I34</f>
        <v>O2.5</v>
      </c>
      <c r="N25" s="233" t="str">
        <f>Sheet3!O33</f>
        <v>MAIN</v>
      </c>
      <c r="O25" t="str">
        <f>Sheet3!P33</f>
        <v>U1.5</v>
      </c>
      <c r="P25" t="str">
        <f>Sheet3!Q34</f>
        <v>Run</v>
      </c>
      <c r="V25" s="233" t="str">
        <f>Sheet3!W33</f>
        <v>MAIN</v>
      </c>
      <c r="W25" t="str">
        <f>Sheet3!X33</f>
        <v>U1.5</v>
      </c>
      <c r="X25" t="str">
        <f>Sheet3!Y34</f>
        <v>Run</v>
      </c>
      <c r="AD25" s="233" t="str">
        <f>Sheet3!AE33</f>
        <v>MAIN</v>
      </c>
      <c r="AE25" t="str">
        <f>Sheet3!AF33</f>
        <v>Run</v>
      </c>
      <c r="AF25" t="str">
        <f>Sheet3!AG34</f>
        <v>O2.5</v>
      </c>
      <c r="AL25" s="233" t="str">
        <f>Sheet3!AM33</f>
        <v>MAIN</v>
      </c>
      <c r="AM25" t="e">
        <f>Sheet3!AN33</f>
        <v>#N/A</v>
      </c>
      <c r="AN25" t="e">
        <f>Sheet3!AO34</f>
        <v>#N/A</v>
      </c>
    </row>
    <row r="26" spans="8:8" ht="15.75" customHeight="1">
      <c r="F26" s="196"/>
      <c r="G26" s="196"/>
    </row>
    <row r="27" spans="8:8" ht="15.75" customHeight="1">
      <c r="F27" s="196"/>
      <c r="G27" s="196"/>
    </row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conditionalFormatting sqref="T4:Y24">
    <cfRule type="expression" priority="4" dxfId="61">
      <formula>$V$6="scrapped"</formula>
    </cfRule>
    <cfRule type="expression" priority="5" dxfId="62">
      <formula>$X$7="high"</formula>
    </cfRule>
    <cfRule type="expression" priority="6" dxfId="63">
      <formula>$X$7="medium"</formula>
    </cfRule>
  </conditionalFormatting>
  <conditionalFormatting sqref="AB4:AF25">
    <cfRule type="expression" priority="3" dxfId="64">
      <formula>$AF$7="medium"</formula>
    </cfRule>
    <cfRule type="expression" priority="1" dxfId="65">
      <formula>$AD$6="scrapped"</formula>
    </cfRule>
    <cfRule type="expression" priority="2" dxfId="66">
      <formula>$AF$7="high"</formula>
    </cfRule>
  </conditionalFormatting>
  <conditionalFormatting sqref="L4:P25">
    <cfRule type="expression" priority="12" dxfId="67">
      <formula>$P$7="medium"</formula>
    </cfRule>
    <cfRule type="expression" priority="10" dxfId="68">
      <formula>$N$6="scrapped"</formula>
    </cfRule>
    <cfRule type="expression" priority="11" dxfId="69">
      <formula>$P$7="High"</formula>
    </cfRule>
  </conditionalFormatting>
  <conditionalFormatting sqref="D4:H25">
    <cfRule type="expression" priority="7" dxfId="70">
      <formula>$H$7="high"</formula>
    </cfRule>
    <cfRule type="expression" priority="8" dxfId="71">
      <formula>$H$7="medium"</formula>
    </cfRule>
  </conditionalFormatting>
  <conditionalFormatting sqref="AJ4:AN25">
    <cfRule type="expression" priority="15" dxfId="72">
      <formula>$AN$7="MEDIUM"</formula>
    </cfRule>
    <cfRule type="expression" priority="14" dxfId="73">
      <formula>$AN$7="HIGH"</formula>
    </cfRule>
    <cfRule type="expression" priority="13" dxfId="74">
      <formula>$AL$6="scrapped"</formula>
    </cfRule>
  </conditionalFormatting>
  <conditionalFormatting sqref="D4:H26">
    <cfRule type="expression" priority="9" dxfId="75">
      <formula>$F$6="scrapped"</formula>
    </cfRule>
  </conditionalFormatting>
  <pageMargins left="0.7" right="0.7" top="0.75" bottom="0.75" header="0.0" footer="0.0"/>
  <pageSetup paperSize="9" fitToWidth="0" fitToHeight="0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dimension ref="A1:SR38"/>
  <sheetViews>
    <sheetView workbookViewId="0" zoomScale="83">
      <selection activeCell="G8" sqref="G8"/>
    </sheetView>
  </sheetViews>
  <sheetFormatPr defaultRowHeight="15.0" customHeight="1" defaultColWidth="14"/>
  <cols>
    <col min="1" max="6" customWidth="1" width="10.0" style="0"/>
    <col min="7" max="8" customWidth="1" width="14.0" style="0"/>
  </cols>
  <sheetData>
    <row r="1" spans="8:8" ht="15.75" customHeight="1"/>
    <row r="2" spans="8:8" ht="15.75" customHeight="1"/>
    <row r="3" spans="8:8" ht="15.75" customHeight="1">
      <c r="A3" t="s">
        <v>139</v>
      </c>
      <c r="B3" t="s">
        <v>140</v>
      </c>
      <c r="C3" t="s">
        <v>141</v>
      </c>
      <c r="D3" t="s">
        <v>142</v>
      </c>
      <c r="E3" t="s">
        <v>143</v>
      </c>
    </row>
    <row r="4" spans="8:8" ht="15.75" customHeight="1">
      <c r="A4">
        <v>2015.0</v>
      </c>
      <c r="B4">
        <v>2.5</v>
      </c>
      <c r="C4">
        <f>A4*B4</f>
        <v>5037.5</v>
      </c>
      <c r="D4">
        <f>C4-A4</f>
        <v>3022.5</v>
      </c>
      <c r="E4">
        <f>(10/100)*D4</f>
        <v>302.25</v>
      </c>
    </row>
    <row r="5" spans="8:8" ht="15.75" customHeight="1"/>
    <row r="6" spans="8:8" ht="15.75" customHeight="1"/>
    <row r="7" spans="8:8" ht="15.75" customHeight="1">
      <c r="A7" s="226"/>
      <c r="B7" s="271" t="s">
        <v>144</v>
      </c>
      <c r="C7" s="271" t="s">
        <v>145</v>
      </c>
      <c r="D7" s="226"/>
      <c r="E7" s="272" t="s">
        <v>146</v>
      </c>
      <c r="F7" s="271" t="s">
        <v>147</v>
      </c>
      <c r="G7" s="226"/>
      <c r="H7" s="226"/>
    </row>
    <row r="8" spans="8:8" ht="15.75" customHeight="1">
      <c r="A8" s="273">
        <v>1.0</v>
      </c>
      <c r="B8" s="273">
        <v>1000.0</v>
      </c>
      <c r="C8" s="273">
        <v>1.5</v>
      </c>
      <c r="D8" s="273">
        <f t="shared" si="0" ref="D8:D37">(B8*C8)-B8</f>
        <v>500.0</v>
      </c>
      <c r="E8" s="274">
        <f t="shared" si="1" ref="E8:E37">(20/100)*D8</f>
        <v>100.0</v>
      </c>
      <c r="F8" s="273">
        <f t="shared" si="2" ref="F8:F37">D8-E8</f>
        <v>400.0</v>
      </c>
      <c r="G8" s="275" t="s">
        <v>148</v>
      </c>
      <c r="H8" s="273">
        <v>1.0</v>
      </c>
      <c r="I8">
        <f>1.16</f>
        <v>1.16</v>
      </c>
    </row>
    <row r="9" spans="8:8" ht="15.75" customHeight="1">
      <c r="A9" s="273">
        <v>2.0</v>
      </c>
      <c r="B9" s="273">
        <f>B8+F8</f>
        <v>1400.0</v>
      </c>
      <c r="C9" s="273">
        <v>1.5</v>
      </c>
      <c r="D9" s="273">
        <f t="shared" si="0"/>
        <v>700.0</v>
      </c>
      <c r="E9" s="274">
        <f t="shared" si="1"/>
        <v>140.0</v>
      </c>
      <c r="F9" s="273">
        <f t="shared" si="2"/>
        <v>560.0</v>
      </c>
      <c r="G9" s="275" t="s">
        <v>149</v>
      </c>
      <c r="H9" s="273">
        <v>2.0</v>
      </c>
      <c r="I9">
        <f>1.16</f>
        <v>1.16</v>
      </c>
    </row>
    <row r="10" spans="8:8" ht="15.75" customHeight="1">
      <c r="A10" s="273">
        <v>3.0</v>
      </c>
      <c r="B10" s="273">
        <f>B9+F9</f>
        <v>1960.0</v>
      </c>
      <c r="C10" s="273">
        <v>1.5</v>
      </c>
      <c r="D10" s="273">
        <f t="shared" si="0"/>
        <v>980.0</v>
      </c>
      <c r="E10" s="274">
        <f t="shared" si="1"/>
        <v>196.0</v>
      </c>
      <c r="F10" s="273">
        <f t="shared" si="2"/>
        <v>784.0</v>
      </c>
      <c r="G10" s="275" t="s">
        <v>150</v>
      </c>
      <c r="H10" s="273">
        <v>3.0</v>
      </c>
      <c r="I10">
        <f>1.16</f>
        <v>1.16</v>
      </c>
    </row>
    <row r="11" spans="8:8" ht="15.75" customHeight="1">
      <c r="A11" s="273">
        <v>4.0</v>
      </c>
      <c r="B11" s="273">
        <f>B10+F10</f>
        <v>2744.0</v>
      </c>
      <c r="C11" s="273">
        <v>1.5</v>
      </c>
      <c r="D11" s="273">
        <f t="shared" si="0"/>
        <v>1372.0</v>
      </c>
      <c r="E11" s="274">
        <f t="shared" si="1"/>
        <v>274.40000000000003</v>
      </c>
      <c r="F11" s="273">
        <f t="shared" si="2"/>
        <v>1097.6</v>
      </c>
      <c r="G11" s="275" t="s">
        <v>151</v>
      </c>
      <c r="H11" s="273">
        <v>4.0</v>
      </c>
      <c r="I11">
        <f>1.16</f>
        <v>1.16</v>
      </c>
    </row>
    <row r="12" spans="8:8" ht="15.75" customHeight="1">
      <c r="A12" s="273">
        <v>5.0</v>
      </c>
      <c r="B12" s="273">
        <f>B11+F11</f>
        <v>3841.6</v>
      </c>
      <c r="C12" s="273">
        <v>1.5</v>
      </c>
      <c r="D12" s="273">
        <f t="shared" si="0"/>
        <v>1920.7999999999997</v>
      </c>
      <c r="E12" s="274">
        <f t="shared" si="1"/>
        <v>384.15999999999997</v>
      </c>
      <c r="F12" s="273">
        <f t="shared" si="2"/>
        <v>1536.6399999999999</v>
      </c>
      <c r="G12" s="275" t="s">
        <v>152</v>
      </c>
      <c r="H12" s="273">
        <v>5.0</v>
      </c>
      <c r="I12">
        <v>1.16</v>
      </c>
    </row>
    <row r="13" spans="8:8" ht="15.75" customHeight="1">
      <c r="A13" s="273">
        <v>6.0</v>
      </c>
      <c r="B13" s="273">
        <f>B12+F12</f>
        <v>5378.24</v>
      </c>
      <c r="C13" s="273">
        <v>1.5</v>
      </c>
      <c r="D13" s="273">
        <f t="shared" si="0"/>
        <v>2689.12</v>
      </c>
      <c r="E13" s="274">
        <f t="shared" si="1"/>
        <v>537.824</v>
      </c>
      <c r="F13" s="273">
        <f t="shared" si="2"/>
        <v>2151.296</v>
      </c>
      <c r="G13" s="275" t="s">
        <v>153</v>
      </c>
      <c r="H13" s="273">
        <v>6.0</v>
      </c>
      <c r="I13"/>
    </row>
    <row r="14" spans="8:8" ht="15.75" customHeight="1">
      <c r="A14" s="273">
        <v>7.0</v>
      </c>
      <c r="B14" s="273">
        <f>B13+F13</f>
        <v>7529.536</v>
      </c>
      <c r="C14" s="273">
        <v>1.5</v>
      </c>
      <c r="D14" s="273">
        <f t="shared" si="0"/>
        <v>3764.768</v>
      </c>
      <c r="E14" s="274">
        <f t="shared" si="1"/>
        <v>752.9536</v>
      </c>
      <c r="F14" s="273">
        <f t="shared" si="2"/>
        <v>3011.8144</v>
      </c>
      <c r="G14" s="275" t="s">
        <v>154</v>
      </c>
      <c r="H14" s="273">
        <v>7.0</v>
      </c>
      <c r="I14"/>
    </row>
    <row r="15" spans="8:8" ht="15.75" customHeight="1">
      <c r="A15" s="273">
        <v>8.0</v>
      </c>
      <c r="B15" s="273">
        <f>B14+F14</f>
        <v>10541.3504</v>
      </c>
      <c r="C15" s="273">
        <v>1.5</v>
      </c>
      <c r="D15" s="273">
        <f t="shared" si="0"/>
        <v>5270.6752000000015</v>
      </c>
      <c r="E15" s="274">
        <f t="shared" si="1"/>
        <v>1054.1350400000003</v>
      </c>
      <c r="F15" s="273">
        <f t="shared" si="2"/>
        <v>4216.54016</v>
      </c>
      <c r="G15" s="275" t="s">
        <v>155</v>
      </c>
      <c r="H15" s="273">
        <v>8.0</v>
      </c>
      <c r="I15"/>
    </row>
    <row r="16" spans="8:8" ht="15.75" customHeight="1">
      <c r="A16" s="273">
        <v>9.0</v>
      </c>
      <c r="B16" s="273">
        <v>20000.0</v>
      </c>
      <c r="C16" s="273">
        <v>1.5</v>
      </c>
      <c r="D16" s="273">
        <f t="shared" si="0"/>
        <v>10000.0</v>
      </c>
      <c r="E16" s="274">
        <f t="shared" si="1"/>
        <v>2000.0</v>
      </c>
      <c r="F16" s="273">
        <f t="shared" si="2"/>
        <v>8000.0</v>
      </c>
      <c r="G16" s="275" t="s">
        <v>156</v>
      </c>
      <c r="H16" s="273">
        <v>9.0</v>
      </c>
      <c r="I16"/>
    </row>
    <row r="17" spans="8:8" ht="15.75" customHeight="1">
      <c r="A17" s="273">
        <v>10.0</v>
      </c>
      <c r="B17" s="273">
        <f>B16+F16</f>
        <v>28000.0</v>
      </c>
      <c r="C17" s="273">
        <v>1.5</v>
      </c>
      <c r="D17" s="273">
        <f t="shared" si="0"/>
        <v>14000.0</v>
      </c>
      <c r="E17" s="274">
        <f t="shared" si="1"/>
        <v>2800.0</v>
      </c>
      <c r="F17" s="273">
        <f t="shared" si="2"/>
        <v>11200.0</v>
      </c>
      <c r="G17" s="275" t="s">
        <v>157</v>
      </c>
      <c r="H17" s="273">
        <v>10.0</v>
      </c>
    </row>
    <row r="18" spans="8:8" ht="15.75" customHeight="1">
      <c r="A18" s="273">
        <v>11.0</v>
      </c>
      <c r="B18" s="273">
        <f>B17+F17</f>
        <v>39200.0</v>
      </c>
      <c r="C18" s="273">
        <v>1.5</v>
      </c>
      <c r="D18" s="273">
        <f t="shared" si="0"/>
        <v>19600.0</v>
      </c>
      <c r="E18" s="274">
        <f t="shared" si="1"/>
        <v>3920.0</v>
      </c>
      <c r="F18" s="273">
        <f t="shared" si="2"/>
        <v>15680.0</v>
      </c>
      <c r="G18" s="275" t="s">
        <v>158</v>
      </c>
      <c r="H18" s="273">
        <v>11.0</v>
      </c>
    </row>
    <row r="19" spans="8:8" ht="15.75" customHeight="1">
      <c r="A19" s="273">
        <v>12.0</v>
      </c>
      <c r="B19" s="273">
        <f>B18+F18</f>
        <v>54880.0</v>
      </c>
      <c r="C19" s="273">
        <v>1.5</v>
      </c>
      <c r="D19" s="273">
        <f t="shared" si="0"/>
        <v>27440.0</v>
      </c>
      <c r="E19" s="274">
        <f t="shared" si="1"/>
        <v>5488.0</v>
      </c>
      <c r="F19" s="273">
        <f t="shared" si="2"/>
        <v>21952.0</v>
      </c>
      <c r="G19" s="275" t="s">
        <v>159</v>
      </c>
      <c r="H19" s="273">
        <v>12.0</v>
      </c>
    </row>
    <row r="20" spans="8:8" ht="15.75" customHeight="1">
      <c r="A20" s="273">
        <v>13.0</v>
      </c>
      <c r="B20" s="273">
        <f>B19+F19</f>
        <v>76832.0</v>
      </c>
      <c r="C20" s="273">
        <v>1.5</v>
      </c>
      <c r="D20" s="273">
        <f t="shared" si="0"/>
        <v>38416.0</v>
      </c>
      <c r="E20" s="274">
        <f t="shared" si="1"/>
        <v>7683.200000000001</v>
      </c>
      <c r="F20" s="273">
        <f t="shared" si="2"/>
        <v>30732.8</v>
      </c>
      <c r="G20" s="275" t="s">
        <v>160</v>
      </c>
      <c r="H20" s="273">
        <v>13.0</v>
      </c>
    </row>
    <row r="21" spans="8:8" ht="15.75" customHeight="1">
      <c r="A21" s="273">
        <v>14.0</v>
      </c>
      <c r="B21" s="273">
        <f>B20+F20</f>
        <v>107564.8</v>
      </c>
      <c r="C21" s="273">
        <v>1.5</v>
      </c>
      <c r="D21" s="273">
        <f t="shared" si="0"/>
        <v>53782.40000000001</v>
      </c>
      <c r="E21" s="274">
        <f t="shared" si="1"/>
        <v>10756.480000000003</v>
      </c>
      <c r="F21" s="273">
        <f t="shared" si="2"/>
        <v>43025.92</v>
      </c>
      <c r="G21" s="275" t="s">
        <v>161</v>
      </c>
      <c r="H21" s="273">
        <v>14.0</v>
      </c>
    </row>
    <row r="22" spans="8:8" ht="15.75" customHeight="1">
      <c r="A22" s="273">
        <v>15.0</v>
      </c>
      <c r="B22" s="273">
        <f>B21+F21</f>
        <v>150590.72</v>
      </c>
      <c r="C22" s="273">
        <v>1.5</v>
      </c>
      <c r="D22" s="273">
        <f t="shared" si="0"/>
        <v>75295.35999999999</v>
      </c>
      <c r="E22" s="274">
        <f t="shared" si="1"/>
        <v>15059.071999999998</v>
      </c>
      <c r="F22" s="273">
        <f t="shared" si="2"/>
        <v>60236.288</v>
      </c>
      <c r="G22" s="275" t="s">
        <v>162</v>
      </c>
      <c r="H22" s="273">
        <v>15.0</v>
      </c>
    </row>
    <row r="23" spans="8:8" ht="15.75" customHeight="1">
      <c r="A23" s="273">
        <v>16.0</v>
      </c>
      <c r="B23" s="273">
        <f>B22+F22</f>
        <v>210827.008</v>
      </c>
      <c r="C23" s="273">
        <v>1.5</v>
      </c>
      <c r="D23" s="273">
        <f t="shared" si="0"/>
        <v>105413.50399999999</v>
      </c>
      <c r="E23" s="274">
        <f t="shared" si="1"/>
        <v>21082.7008</v>
      </c>
      <c r="F23" s="273">
        <f t="shared" si="2"/>
        <v>84330.8032</v>
      </c>
      <c r="G23" s="275" t="s">
        <v>163</v>
      </c>
      <c r="H23" s="273">
        <v>16.0</v>
      </c>
    </row>
    <row r="24" spans="8:8" ht="15.75" customHeight="1">
      <c r="A24" s="273">
        <v>17.0</v>
      </c>
      <c r="B24" s="273">
        <f>B23+F23</f>
        <v>295157.8112</v>
      </c>
      <c r="C24" s="273">
        <v>1.5</v>
      </c>
      <c r="D24" s="273">
        <f t="shared" si="0"/>
        <v>147578.9056</v>
      </c>
      <c r="E24" s="274">
        <f t="shared" si="1"/>
        <v>29515.78112</v>
      </c>
      <c r="F24" s="273">
        <f t="shared" si="2"/>
        <v>118063.12448</v>
      </c>
      <c r="G24" s="275" t="s">
        <v>164</v>
      </c>
      <c r="H24" s="273">
        <v>17.0</v>
      </c>
    </row>
    <row r="25" spans="8:8" ht="15.75" customHeight="1">
      <c r="A25" s="273">
        <v>18.0</v>
      </c>
      <c r="B25" s="273">
        <f>B24+F24</f>
        <v>413220.93568</v>
      </c>
      <c r="C25" s="273">
        <v>1.5</v>
      </c>
      <c r="D25" s="273">
        <f t="shared" si="0"/>
        <v>206610.46784000006</v>
      </c>
      <c r="E25" s="274">
        <f t="shared" si="1"/>
        <v>41322.09356800001</v>
      </c>
      <c r="F25" s="273">
        <f t="shared" si="2"/>
        <v>165288.374272</v>
      </c>
      <c r="G25" s="275" t="s">
        <v>165</v>
      </c>
      <c r="H25" s="273">
        <v>18.0</v>
      </c>
    </row>
    <row r="26" spans="8:8" ht="15.75" customHeight="1">
      <c r="A26" s="273">
        <v>19.0</v>
      </c>
      <c r="B26" s="273">
        <f>B25+F25</f>
        <v>578509.3099519999</v>
      </c>
      <c r="C26" s="273">
        <v>1.5</v>
      </c>
      <c r="D26" s="273">
        <f t="shared" si="0"/>
        <v>289254.65497599996</v>
      </c>
      <c r="E26" s="274">
        <f t="shared" si="1"/>
        <v>57850.9309952</v>
      </c>
      <c r="F26" s="273">
        <f t="shared" si="2"/>
        <v>231403.72398080002</v>
      </c>
      <c r="G26" s="275" t="s">
        <v>166</v>
      </c>
      <c r="H26" s="273">
        <v>19.0</v>
      </c>
    </row>
    <row r="27" spans="8:8" ht="15.75" customHeight="1">
      <c r="A27" s="273">
        <v>20.0</v>
      </c>
      <c r="B27" s="273">
        <f>B26+F26</f>
        <v>809913.0339328</v>
      </c>
      <c r="C27" s="273">
        <v>1.5</v>
      </c>
      <c r="D27" s="273">
        <f t="shared" si="0"/>
        <v>404956.51696639985</v>
      </c>
      <c r="E27" s="274">
        <f t="shared" si="1"/>
        <v>80991.30339327997</v>
      </c>
      <c r="F27" s="273">
        <f t="shared" si="2"/>
        <v>323965.21357312</v>
      </c>
      <c r="G27" s="275" t="s">
        <v>167</v>
      </c>
      <c r="H27" s="273">
        <v>20.0</v>
      </c>
    </row>
    <row r="28" spans="8:8" ht="15.75" customHeight="1">
      <c r="A28" s="273">
        <v>21.0</v>
      </c>
      <c r="B28" s="273">
        <f>B27+F27</f>
        <v>1133878.24750592</v>
      </c>
      <c r="C28" s="273">
        <v>1.5</v>
      </c>
      <c r="D28" s="273">
        <f t="shared" si="0"/>
        <v>566939.12375296</v>
      </c>
      <c r="E28" s="274">
        <f t="shared" si="1"/>
        <v>113387.824750592</v>
      </c>
      <c r="F28" s="273">
        <f t="shared" si="2"/>
        <v>453551.299002368</v>
      </c>
      <c r="G28" s="275" t="s">
        <v>168</v>
      </c>
      <c r="H28" s="273">
        <v>21.0</v>
      </c>
    </row>
    <row r="29" spans="8:8" ht="15.75" customHeight="1">
      <c r="A29" s="273">
        <v>22.0</v>
      </c>
      <c r="B29" s="273">
        <f>B28+F28</f>
        <v>1587429.546508288</v>
      </c>
      <c r="C29" s="273">
        <v>1.5</v>
      </c>
      <c r="D29" s="273">
        <f t="shared" si="0"/>
        <v>793714.77325414</v>
      </c>
      <c r="E29" s="274">
        <f t="shared" si="1"/>
        <v>158742.95465082803</v>
      </c>
      <c r="F29" s="273">
        <f t="shared" si="2"/>
        <v>634971.818603312</v>
      </c>
      <c r="G29" s="275" t="s">
        <v>169</v>
      </c>
      <c r="H29" s="273">
        <v>22.0</v>
      </c>
    </row>
    <row r="30" spans="8:8" ht="15.75" customHeight="1">
      <c r="A30" s="273">
        <v>23.0</v>
      </c>
      <c r="B30" s="273">
        <f>B29+F29</f>
        <v>2222401.365111602</v>
      </c>
      <c r="C30" s="273">
        <v>1.5</v>
      </c>
      <c r="D30" s="273">
        <f t="shared" si="0"/>
        <v>1111200.6825557998</v>
      </c>
      <c r="E30" s="274">
        <f t="shared" si="1"/>
        <v>222240.13651115997</v>
      </c>
      <c r="F30" s="273">
        <f t="shared" si="2"/>
        <v>888960.54604464</v>
      </c>
      <c r="G30" s="275" t="s">
        <v>170</v>
      </c>
      <c r="H30" s="273">
        <v>23.0</v>
      </c>
    </row>
    <row r="31" spans="8:8" ht="15.75" customHeight="1">
      <c r="A31" s="273">
        <v>24.0</v>
      </c>
      <c r="B31" s="273">
        <f>B30+F30</f>
        <v>3111361.91115624</v>
      </c>
      <c r="C31" s="273">
        <v>1.5</v>
      </c>
      <c r="D31" s="273">
        <f t="shared" si="0"/>
        <v>1555680.9555781204</v>
      </c>
      <c r="E31" s="274">
        <f t="shared" si="1"/>
        <v>311136.1911156241</v>
      </c>
      <c r="F31" s="273">
        <f t="shared" si="2"/>
        <v>1244544.764462496</v>
      </c>
      <c r="G31" s="275" t="s">
        <v>171</v>
      </c>
      <c r="H31" s="273">
        <v>24.0</v>
      </c>
    </row>
    <row r="32" spans="8:8" ht="15.75" customHeight="1">
      <c r="A32" s="273">
        <v>25.0</v>
      </c>
      <c r="B32" s="273">
        <f>B31+F31</f>
        <v>4355906.67561874</v>
      </c>
      <c r="C32" s="273">
        <v>1.5</v>
      </c>
      <c r="D32" s="273">
        <f t="shared" si="0"/>
        <v>2177953.33780937</v>
      </c>
      <c r="E32" s="274">
        <f t="shared" si="1"/>
        <v>435590.667561874</v>
      </c>
      <c r="F32" s="273">
        <f t="shared" si="2"/>
        <v>1742362.6702474959</v>
      </c>
      <c r="G32" s="275" t="s">
        <v>172</v>
      </c>
      <c r="H32" s="273">
        <v>25.0</v>
      </c>
    </row>
    <row r="33" spans="8:8" ht="15.75" customHeight="1">
      <c r="A33" s="273">
        <v>26.0</v>
      </c>
      <c r="B33" s="273">
        <f>B32+F32</f>
        <v>6098269.34586624</v>
      </c>
      <c r="C33" s="273">
        <v>1.5</v>
      </c>
      <c r="D33" s="273">
        <f t="shared" si="0"/>
        <v>3049134.672933121</v>
      </c>
      <c r="E33" s="274">
        <f t="shared" si="1"/>
        <v>609826.9345866243</v>
      </c>
      <c r="F33" s="273">
        <f t="shared" si="2"/>
        <v>2439307.7383464957</v>
      </c>
      <c r="G33" s="275" t="s">
        <v>173</v>
      </c>
      <c r="H33" s="273">
        <v>26.0</v>
      </c>
    </row>
    <row r="34" spans="8:8" ht="15.75" customHeight="1">
      <c r="A34" s="273">
        <v>27.0</v>
      </c>
      <c r="B34" s="273">
        <f>B33+F33</f>
        <v>8537577.084212739</v>
      </c>
      <c r="C34" s="273">
        <v>1.5</v>
      </c>
      <c r="D34" s="273">
        <f t="shared" si="0"/>
        <v>4268788.542106358</v>
      </c>
      <c r="E34" s="274">
        <f t="shared" si="1"/>
        <v>853757.7084212718</v>
      </c>
      <c r="F34" s="273">
        <f t="shared" si="2"/>
        <v>3415030.833685088</v>
      </c>
      <c r="G34" s="275" t="s">
        <v>174</v>
      </c>
      <c r="H34" s="273">
        <v>27.0</v>
      </c>
    </row>
    <row r="35" spans="8:8" ht="15.75" customHeight="1">
      <c r="A35" s="273">
        <v>28.0</v>
      </c>
      <c r="B35" s="273">
        <f>B34+F34</f>
        <v>1.1952607917897832E7</v>
      </c>
      <c r="C35" s="273">
        <v>1.5</v>
      </c>
      <c r="D35" s="273">
        <f t="shared" si="0"/>
        <v>5976303.958948901</v>
      </c>
      <c r="E35" s="274">
        <f t="shared" si="1"/>
        <v>1195260.7917897801</v>
      </c>
      <c r="F35" s="273">
        <f t="shared" si="2"/>
        <v>4781043.16715912</v>
      </c>
      <c r="G35" s="275" t="s">
        <v>175</v>
      </c>
      <c r="H35" s="273">
        <v>28.0</v>
      </c>
    </row>
    <row r="36" spans="8:8" ht="15.75" customHeight="1">
      <c r="A36" s="273">
        <v>29.0</v>
      </c>
      <c r="B36" s="273">
        <f>B35+F35</f>
        <v>1.673365108505692E7</v>
      </c>
      <c r="C36" s="273">
        <v>1.5</v>
      </c>
      <c r="D36" s="273">
        <f t="shared" si="0"/>
        <v>8366825.542528501</v>
      </c>
      <c r="E36" s="274">
        <f t="shared" si="1"/>
        <v>1673365.1085057002</v>
      </c>
      <c r="F36" s="273">
        <f t="shared" si="2"/>
        <v>6693460.4340228</v>
      </c>
      <c r="G36" s="275" t="s">
        <v>176</v>
      </c>
      <c r="H36" s="273">
        <v>29.0</v>
      </c>
    </row>
    <row r="37" spans="8:8" ht="15.75" customHeight="1">
      <c r="A37" s="273">
        <v>30.0</v>
      </c>
      <c r="B37" s="273">
        <f>B36+F36</f>
        <v>2.34271115190797E7</v>
      </c>
      <c r="C37" s="273">
        <v>1.5</v>
      </c>
      <c r="D37" s="273">
        <f t="shared" si="0"/>
        <v>1.1713555759539902E7</v>
      </c>
      <c r="E37" s="274">
        <f t="shared" si="1"/>
        <v>2342711.1519079804</v>
      </c>
      <c r="F37" s="273">
        <f t="shared" si="2"/>
        <v>9370844.60763192</v>
      </c>
      <c r="G37" s="275" t="s">
        <v>177</v>
      </c>
      <c r="H37" s="273">
        <v>30.0</v>
      </c>
    </row>
    <row r="38" spans="8:8" ht="15.75" customHeight="1">
      <c r="A38" s="226"/>
      <c r="B38" s="273">
        <f>COUNT(B8:B37)</f>
        <v>30.0</v>
      </c>
      <c r="C38" s="226"/>
      <c r="D38" s="226"/>
      <c r="E38" s="273">
        <f>SUM(E8:E37)</f>
        <v>8197928.504317915</v>
      </c>
      <c r="F38" s="226"/>
      <c r="G38" s="226"/>
      <c r="H38" s="226"/>
      <c r="I38">
        <f>PRODUCT(I8:I37)</f>
        <v>2.1003416575999996</v>
      </c>
    </row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pageMargins left="0.7" right="0.7" top="0.75" bottom="0.75" header="0.0" footer="0.0"/>
  <pageSetup paperSize="9" fitToWidth="0" fitToHeight="0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dimension ref="A1:SR38"/>
  <sheetViews>
    <sheetView workbookViewId="0" zoomScale="83">
      <selection activeCell="A1" sqref="A1:A1048576"/>
    </sheetView>
  </sheetViews>
  <sheetFormatPr defaultRowHeight="15.0" customHeight="1" defaultColWidth="14"/>
  <cols>
    <col min="1" max="6" customWidth="1" width="10.0" style="0"/>
    <col min="7" max="8" customWidth="1" width="14.0" style="0"/>
  </cols>
  <sheetData>
    <row r="1" spans="8:8" ht="15.75" customHeight="1"/>
    <row r="2" spans="8:8" ht="15.75" customHeight="1"/>
    <row r="3" spans="8:8" ht="15.75" customHeight="1">
      <c r="A3" t="s">
        <v>139</v>
      </c>
      <c r="B3" t="s">
        <v>140</v>
      </c>
      <c r="C3" t="s">
        <v>141</v>
      </c>
      <c r="D3" t="s">
        <v>142</v>
      </c>
      <c r="E3" t="s">
        <v>143</v>
      </c>
    </row>
    <row r="4" spans="8:8" ht="15.75" customHeight="1">
      <c r="A4">
        <v>2015.0</v>
      </c>
      <c r="B4">
        <v>2.5</v>
      </c>
      <c r="C4">
        <f>A4*B4</f>
        <v>5037.5</v>
      </c>
      <c r="D4">
        <f>C4-A4</f>
        <v>3022.5</v>
      </c>
      <c r="E4">
        <f>(10/100)*D4</f>
        <v>302.25</v>
      </c>
    </row>
    <row r="5" spans="8:8" ht="15.75" customHeight="1"/>
    <row r="6" spans="8:8" ht="15.75" customHeight="1"/>
    <row r="7" spans="8:8" ht="15.75" customHeight="1">
      <c r="A7" s="226"/>
      <c r="B7" s="271" t="s">
        <v>144</v>
      </c>
      <c r="C7" s="271" t="s">
        <v>145</v>
      </c>
      <c r="D7" s="226"/>
      <c r="E7" s="272" t="s">
        <v>146</v>
      </c>
      <c r="F7" s="271" t="s">
        <v>147</v>
      </c>
      <c r="G7" s="226"/>
      <c r="H7" s="226"/>
    </row>
    <row r="8" spans="8:8" ht="15.75" customHeight="1">
      <c r="A8" s="273">
        <v>1.0</v>
      </c>
      <c r="B8" s="273">
        <v>1000.0</v>
      </c>
      <c r="C8" s="273">
        <v>1.5</v>
      </c>
      <c r="D8" s="273">
        <f t="shared" si="0" ref="D8:D37">(B8*C8)-B8</f>
        <v>500.0</v>
      </c>
      <c r="E8" s="274">
        <f t="shared" si="1" ref="E8:E37">(20/100)*D8</f>
        <v>100.0</v>
      </c>
      <c r="F8" s="273">
        <f t="shared" si="2" ref="F8:F37">D8-E8</f>
        <v>400.0</v>
      </c>
      <c r="G8" s="275" t="s">
        <v>148</v>
      </c>
      <c r="H8" s="273">
        <v>1.0</v>
      </c>
      <c r="I8">
        <f>1.16</f>
        <v>1.16</v>
      </c>
    </row>
    <row r="9" spans="8:8" ht="15.75" customHeight="1">
      <c r="A9" s="273">
        <v>2.0</v>
      </c>
      <c r="B9" s="273">
        <f t="shared" si="3" ref="B9:B37">B8+F8</f>
        <v>1400.0</v>
      </c>
      <c r="C9" s="273">
        <v>1.5</v>
      </c>
      <c r="D9" s="273">
        <f t="shared" si="4" ref="D9:D37">(B9*C9)-B9</f>
        <v>700.0</v>
      </c>
      <c r="E9" s="274">
        <f t="shared" si="5" ref="E9:E37">(20/100)*D9</f>
        <v>140.0</v>
      </c>
      <c r="F9" s="273">
        <f t="shared" si="6" ref="F9:F37">D9-E9</f>
        <v>560.0</v>
      </c>
      <c r="G9" s="275" t="s">
        <v>149</v>
      </c>
      <c r="H9" s="273">
        <v>2.0</v>
      </c>
      <c r="I9">
        <f>1.16</f>
        <v>1.16</v>
      </c>
    </row>
    <row r="10" spans="8:8" ht="15.75" customHeight="1">
      <c r="A10" s="273">
        <v>3.0</v>
      </c>
      <c r="B10" s="273">
        <f t="shared" si="7" ref="B10:B37">B9+F9</f>
        <v>1960.0</v>
      </c>
      <c r="C10" s="273">
        <v>1.5</v>
      </c>
      <c r="D10" s="273">
        <f t="shared" si="8" ref="D10:D37">(B10*C10)-B10</f>
        <v>980.0</v>
      </c>
      <c r="E10" s="274">
        <f t="shared" si="9" ref="E10:E37">(20/100)*D10</f>
        <v>196.0</v>
      </c>
      <c r="F10" s="273">
        <f t="shared" si="10" ref="F10:F37">D10-E10</f>
        <v>784.0</v>
      </c>
      <c r="G10" s="275" t="s">
        <v>150</v>
      </c>
      <c r="H10" s="273">
        <v>3.0</v>
      </c>
      <c r="I10">
        <f>1.16</f>
        <v>1.16</v>
      </c>
    </row>
    <row r="11" spans="8:8" ht="15.75" customHeight="1">
      <c r="A11" s="273">
        <v>4.0</v>
      </c>
      <c r="B11" s="273">
        <f t="shared" si="11" ref="B11:B37">B10+F10</f>
        <v>2744.0</v>
      </c>
      <c r="C11" s="273">
        <v>1.5</v>
      </c>
      <c r="D11" s="273">
        <f t="shared" si="12" ref="D11:D37">(B11*C11)-B11</f>
        <v>1372.0</v>
      </c>
      <c r="E11" s="274">
        <f t="shared" si="13" ref="E11:E37">(20/100)*D11</f>
        <v>274.40000000000003</v>
      </c>
      <c r="F11" s="273">
        <f t="shared" si="14" ref="F11:F37">D11-E11</f>
        <v>1097.6</v>
      </c>
      <c r="G11" s="275" t="s">
        <v>151</v>
      </c>
      <c r="H11" s="273">
        <v>4.0</v>
      </c>
      <c r="I11">
        <f>1.16</f>
        <v>1.16</v>
      </c>
    </row>
    <row r="12" spans="8:8" ht="15.75" customHeight="1">
      <c r="A12" s="273">
        <v>5.0</v>
      </c>
      <c r="B12" s="273">
        <f t="shared" si="15" ref="B12:B37">B11+F11</f>
        <v>3841.6</v>
      </c>
      <c r="C12" s="273">
        <v>1.5</v>
      </c>
      <c r="D12" s="273">
        <f t="shared" si="16" ref="D12:D37">(B12*C12)-B12</f>
        <v>1920.7999999999997</v>
      </c>
      <c r="E12" s="274">
        <f t="shared" si="17" ref="E12:E37">(20/100)*D12</f>
        <v>384.15999999999997</v>
      </c>
      <c r="F12" s="273">
        <f t="shared" si="18" ref="F12:F37">D12-E12</f>
        <v>1536.6399999999999</v>
      </c>
      <c r="G12" s="275" t="s">
        <v>152</v>
      </c>
      <c r="H12" s="273">
        <v>5.0</v>
      </c>
      <c r="I12">
        <v>1.16</v>
      </c>
    </row>
    <row r="13" spans="8:8" ht="15.75" customHeight="1">
      <c r="A13" s="273">
        <v>6.0</v>
      </c>
      <c r="B13" s="273">
        <f t="shared" si="19" ref="B13:B37">B12+F12</f>
        <v>5378.24</v>
      </c>
      <c r="C13" s="273">
        <v>1.5</v>
      </c>
      <c r="D13" s="273">
        <f t="shared" si="20" ref="D13:D37">(B13*C13)-B13</f>
        <v>2689.12</v>
      </c>
      <c r="E13" s="274">
        <f t="shared" si="21" ref="E13:E37">(20/100)*D13</f>
        <v>537.824</v>
      </c>
      <c r="F13" s="273">
        <f t="shared" si="22" ref="F13:F37">D13-E13</f>
        <v>2151.296</v>
      </c>
      <c r="G13" s="275" t="s">
        <v>153</v>
      </c>
      <c r="H13" s="273">
        <v>6.0</v>
      </c>
      <c r="I13"/>
    </row>
    <row r="14" spans="8:8" ht="15.75" customHeight="1">
      <c r="A14" s="273">
        <v>7.0</v>
      </c>
      <c r="B14" s="273">
        <f t="shared" si="23" ref="B14:B37">B13+F13</f>
        <v>7529.536</v>
      </c>
      <c r="C14" s="273">
        <v>1.5</v>
      </c>
      <c r="D14" s="273">
        <f t="shared" si="24" ref="D14:D37">(B14*C14)-B14</f>
        <v>3764.768</v>
      </c>
      <c r="E14" s="274">
        <f t="shared" si="25" ref="E14:E37">(20/100)*D14</f>
        <v>752.9536</v>
      </c>
      <c r="F14" s="273">
        <f t="shared" si="26" ref="F14:F37">D14-E14</f>
        <v>3011.8144</v>
      </c>
      <c r="G14" s="275" t="s">
        <v>154</v>
      </c>
      <c r="H14" s="273">
        <v>7.0</v>
      </c>
      <c r="I14"/>
    </row>
    <row r="15" spans="8:8" ht="15.75" customHeight="1">
      <c r="A15" s="273">
        <v>8.0</v>
      </c>
      <c r="B15" s="273">
        <f t="shared" si="27" ref="B15:B37">B14+F14</f>
        <v>10541.3504</v>
      </c>
      <c r="C15" s="273">
        <v>1.5</v>
      </c>
      <c r="D15" s="273">
        <f t="shared" si="28" ref="D15:D37">(B15*C15)-B15</f>
        <v>5270.6752000000015</v>
      </c>
      <c r="E15" s="274">
        <f t="shared" si="29" ref="E15:E37">(20/100)*D15</f>
        <v>1054.1350400000003</v>
      </c>
      <c r="F15" s="273">
        <f t="shared" si="30" ref="F15:F37">D15-E15</f>
        <v>4216.54016</v>
      </c>
      <c r="G15" s="275" t="s">
        <v>155</v>
      </c>
      <c r="H15" s="273">
        <v>8.0</v>
      </c>
      <c r="I15"/>
    </row>
    <row r="16" spans="8:8" ht="15.75" customHeight="1">
      <c r="A16" s="273">
        <v>9.0</v>
      </c>
      <c r="B16" s="273">
        <f t="shared" si="31" ref="B16:B37">B15+F15</f>
        <v>14757.89056</v>
      </c>
      <c r="C16" s="273">
        <v>1.5</v>
      </c>
      <c r="D16" s="273">
        <f t="shared" si="32" ref="D16:D37">(B16*C16)-B16</f>
        <v>7378.94528</v>
      </c>
      <c r="E16" s="274">
        <f t="shared" si="33" ref="E16:E37">(20/100)*D16</f>
        <v>1475.789056</v>
      </c>
      <c r="F16" s="273">
        <f t="shared" si="34" ref="F16:F37">D16-E16</f>
        <v>5903.156224</v>
      </c>
      <c r="G16" s="275" t="s">
        <v>156</v>
      </c>
      <c r="H16" s="273">
        <v>9.0</v>
      </c>
      <c r="I16"/>
    </row>
    <row r="17" spans="8:8" ht="15.75" customHeight="1">
      <c r="A17" s="273">
        <v>10.0</v>
      </c>
      <c r="B17" s="273">
        <f t="shared" si="35" ref="B17:B37">B16+F16</f>
        <v>20661.046784</v>
      </c>
      <c r="C17" s="273">
        <v>1.5</v>
      </c>
      <c r="D17" s="273">
        <f t="shared" si="36" ref="D17:D37">(B17*C17)-B17</f>
        <v>10330.523392000003</v>
      </c>
      <c r="E17" s="274">
        <f t="shared" si="37" ref="E17:E37">(20/100)*D17</f>
        <v>2066.1046784000005</v>
      </c>
      <c r="F17" s="273">
        <f t="shared" si="38" ref="F17:F37">D17-E17</f>
        <v>8264.4187136</v>
      </c>
      <c r="G17" s="275" t="s">
        <v>157</v>
      </c>
      <c r="H17" s="273">
        <v>10.0</v>
      </c>
    </row>
    <row r="18" spans="8:8" ht="15.75" customHeight="1">
      <c r="A18" s="273">
        <v>11.0</v>
      </c>
      <c r="B18" s="273">
        <f t="shared" si="39" ref="B18:B37">B17+F17</f>
        <v>28925.4654976</v>
      </c>
      <c r="C18" s="273">
        <v>1.5</v>
      </c>
      <c r="D18" s="273">
        <f t="shared" si="40" ref="D18:D37">(B18*C18)-B18</f>
        <v>14462.732748800005</v>
      </c>
      <c r="E18" s="274">
        <f t="shared" si="41" ref="E18:E37">(20/100)*D18</f>
        <v>2892.546549760001</v>
      </c>
      <c r="F18" s="273">
        <f t="shared" si="42" ref="F18:F37">D18-E18</f>
        <v>11570.18619904</v>
      </c>
      <c r="G18" s="275" t="s">
        <v>158</v>
      </c>
      <c r="H18" s="273">
        <v>11.0</v>
      </c>
    </row>
    <row r="19" spans="8:8" ht="15.75" customHeight="1">
      <c r="A19" s="273">
        <v>12.0</v>
      </c>
      <c r="B19" s="273">
        <f t="shared" si="43" ref="B19:B37">B18+F18</f>
        <v>40495.651696639994</v>
      </c>
      <c r="C19" s="273">
        <v>1.5</v>
      </c>
      <c r="D19" s="273">
        <f t="shared" si="44" ref="D19:D37">(B19*C19)-B19</f>
        <v>20247.825848319997</v>
      </c>
      <c r="E19" s="274">
        <f t="shared" si="45" ref="E19:E37">(20/100)*D19</f>
        <v>4049.5651696639998</v>
      </c>
      <c r="F19" s="273">
        <f t="shared" si="46" ref="F19:F37">D19-E19</f>
        <v>16198.260678656</v>
      </c>
      <c r="G19" s="275" t="s">
        <v>159</v>
      </c>
      <c r="H19" s="273">
        <v>12.0</v>
      </c>
    </row>
    <row r="20" spans="8:8" ht="15.75" customHeight="1">
      <c r="A20" s="273">
        <v>13.0</v>
      </c>
      <c r="B20" s="273">
        <f t="shared" si="47" ref="B20:B37">B19+F19</f>
        <v>56693.912375296</v>
      </c>
      <c r="C20" s="273">
        <v>1.5</v>
      </c>
      <c r="D20" s="273">
        <f t="shared" si="48" ref="D20:D37">(B20*C20)-B20</f>
        <v>28346.956187648</v>
      </c>
      <c r="E20" s="274">
        <f t="shared" si="49" ref="E20:E37">(20/100)*D20</f>
        <v>5669.3912375296</v>
      </c>
      <c r="F20" s="273">
        <f t="shared" si="50" ref="F20:F37">D20-E20</f>
        <v>22677.5649501184</v>
      </c>
      <c r="G20" s="275" t="s">
        <v>160</v>
      </c>
      <c r="H20" s="273">
        <v>13.0</v>
      </c>
    </row>
    <row r="21" spans="8:8" ht="15.75" customHeight="1">
      <c r="A21" s="273">
        <v>14.0</v>
      </c>
      <c r="B21" s="273">
        <f t="shared" si="51" ref="B21:B37">B20+F20</f>
        <v>79371.4773254144</v>
      </c>
      <c r="C21" s="273">
        <v>1.5</v>
      </c>
      <c r="D21" s="273">
        <f t="shared" si="52" ref="D21:D37">(B21*C21)-B21</f>
        <v>39685.738662707605</v>
      </c>
      <c r="E21" s="274">
        <f t="shared" si="53" ref="E21:E37">(20/100)*D21</f>
        <v>7937.147732541522</v>
      </c>
      <c r="F21" s="273">
        <f t="shared" si="54" ref="F21:F37">D21-E21</f>
        <v>31748.59093016608</v>
      </c>
      <c r="G21" s="275" t="s">
        <v>161</v>
      </c>
      <c r="H21" s="273">
        <v>14.0</v>
      </c>
    </row>
    <row r="22" spans="8:8" ht="15.75" customHeight="1">
      <c r="A22" s="273">
        <v>15.0</v>
      </c>
      <c r="B22" s="273">
        <f t="shared" si="55" ref="B22:B37">B21+F21</f>
        <v>111120.0682555805</v>
      </c>
      <c r="C22" s="273">
        <v>1.5</v>
      </c>
      <c r="D22" s="273">
        <f t="shared" si="56" ref="D22:D37">(B22*C22)-B22</f>
        <v>55560.03412779</v>
      </c>
      <c r="E22" s="274">
        <f t="shared" si="57" ref="E22:E37">(20/100)*D22</f>
        <v>11112.006825558</v>
      </c>
      <c r="F22" s="273">
        <f t="shared" si="58" ref="F22:F37">D22-E22</f>
        <v>44448.027302232</v>
      </c>
      <c r="G22" s="275" t="s">
        <v>162</v>
      </c>
      <c r="H22" s="273">
        <v>15.0</v>
      </c>
    </row>
    <row r="23" spans="8:8" ht="15.75" customHeight="1">
      <c r="A23" s="273">
        <v>16.0</v>
      </c>
      <c r="B23" s="273">
        <f t="shared" si="59" ref="B23:B37">B22+F22</f>
        <v>155568.095557813</v>
      </c>
      <c r="C23" s="273">
        <v>1.5</v>
      </c>
      <c r="D23" s="273">
        <f t="shared" si="60" ref="D23:D37">(B23*C23)-B23</f>
        <v>77784.047778907</v>
      </c>
      <c r="E23" s="274">
        <f t="shared" si="61" ref="E23:E37">(20/100)*D23</f>
        <v>15556.809555781401</v>
      </c>
      <c r="F23" s="273">
        <f t="shared" si="62" ref="F23:F37">D23-E23</f>
        <v>62227.2382231256</v>
      </c>
      <c r="G23" s="275" t="s">
        <v>163</v>
      </c>
      <c r="H23" s="273">
        <v>16.0</v>
      </c>
    </row>
    <row r="24" spans="8:8" ht="15.75" customHeight="1">
      <c r="A24" s="273">
        <v>17.0</v>
      </c>
      <c r="B24" s="273">
        <f t="shared" si="63" ref="B24:B37">B23+F23</f>
        <v>217795.3337809386</v>
      </c>
      <c r="C24" s="273">
        <v>1.5</v>
      </c>
      <c r="D24" s="273">
        <f t="shared" si="64" ref="D24:D37">(B24*C24)-B24</f>
        <v>108897.66689046903</v>
      </c>
      <c r="E24" s="274">
        <f t="shared" si="65" ref="E24:E37">(20/100)*D24</f>
        <v>21779.53337809381</v>
      </c>
      <c r="F24" s="273">
        <f t="shared" si="66" ref="F24:F37">D24-E24</f>
        <v>87118.1335123752</v>
      </c>
      <c r="G24" s="275" t="s">
        <v>164</v>
      </c>
      <c r="H24" s="273">
        <v>17.0</v>
      </c>
    </row>
    <row r="25" spans="8:8" ht="15.75" customHeight="1">
      <c r="A25" s="273">
        <v>18.0</v>
      </c>
      <c r="B25" s="273">
        <f t="shared" si="67" ref="B25:B37">B24+F24</f>
        <v>304913.46729331417</v>
      </c>
      <c r="C25" s="273">
        <v>1.5</v>
      </c>
      <c r="D25" s="273">
        <f t="shared" si="68" ref="D25:D37">(B25*C25)-B25</f>
        <v>152456.73364665703</v>
      </c>
      <c r="E25" s="274">
        <f t="shared" si="69" ref="E25:E37">(20/100)*D25</f>
        <v>30491.346729331406</v>
      </c>
      <c r="F25" s="273">
        <f t="shared" si="70" ref="F25:F37">D25-E25</f>
        <v>121965.3869173256</v>
      </c>
      <c r="G25" s="275" t="s">
        <v>165</v>
      </c>
      <c r="H25" s="273">
        <v>18.0</v>
      </c>
    </row>
    <row r="26" spans="8:8" ht="15.75" customHeight="1">
      <c r="A26" s="273">
        <v>19.0</v>
      </c>
      <c r="B26" s="273">
        <f t="shared" si="71" ref="B26:B37">B25+F25</f>
        <v>426878.85421064</v>
      </c>
      <c r="C26" s="273">
        <v>1.5</v>
      </c>
      <c r="D26" s="273">
        <f t="shared" si="72" ref="D26:D37">(B26*C26)-B26</f>
        <v>213439.42710531998</v>
      </c>
      <c r="E26" s="274">
        <f t="shared" si="73" ref="E26:E37">(20/100)*D26</f>
        <v>42687.885421064</v>
      </c>
      <c r="F26" s="273">
        <f t="shared" si="74" ref="F26:F37">D26-E26</f>
        <v>170751.541684256</v>
      </c>
      <c r="G26" s="275" t="s">
        <v>166</v>
      </c>
      <c r="H26" s="273">
        <v>19.0</v>
      </c>
    </row>
    <row r="27" spans="8:8" ht="15.75" customHeight="1">
      <c r="A27" s="273">
        <v>20.0</v>
      </c>
      <c r="B27" s="273">
        <f t="shared" si="75" ref="B27:B37">B26+F26</f>
        <v>597630.395894896</v>
      </c>
      <c r="C27" s="273">
        <v>1.5</v>
      </c>
      <c r="D27" s="273">
        <f t="shared" si="76" ref="D27:D37">(B27*C27)-B27</f>
        <v>298815.197947448</v>
      </c>
      <c r="E27" s="274">
        <f t="shared" si="77" ref="E27:E37">(20/100)*D27</f>
        <v>59763.03958948961</v>
      </c>
      <c r="F27" s="273">
        <f t="shared" si="78" ref="F27:F37">D27-E27</f>
        <v>239052.1583579584</v>
      </c>
      <c r="G27" s="275" t="s">
        <v>167</v>
      </c>
      <c r="H27" s="273">
        <v>20.0</v>
      </c>
    </row>
    <row r="28" spans="8:8" ht="15.75" customHeight="1">
      <c r="A28" s="273">
        <v>21.0</v>
      </c>
      <c r="B28" s="273">
        <f t="shared" si="79" ref="B28:B37">B27+F27</f>
        <v>836682.554252854</v>
      </c>
      <c r="C28" s="273">
        <v>1.5</v>
      </c>
      <c r="D28" s="273">
        <f t="shared" si="80" ref="D28:D37">(B28*C28)-B28</f>
        <v>418341.277126426</v>
      </c>
      <c r="E28" s="274">
        <f t="shared" si="81" ref="E28:E37">(20/100)*D28</f>
        <v>83668.2554252852</v>
      </c>
      <c r="F28" s="273">
        <f t="shared" si="82" ref="F28:F37">D28-E28</f>
        <v>334673.0217011408</v>
      </c>
      <c r="G28" s="275" t="s">
        <v>168</v>
      </c>
      <c r="H28" s="273">
        <v>21.0</v>
      </c>
    </row>
    <row r="29" spans="8:8" ht="15.75" customHeight="1">
      <c r="A29" s="273">
        <v>22.0</v>
      </c>
      <c r="B29" s="273">
        <f t="shared" si="83" ref="B29:B37">B28+F28</f>
        <v>1171355.5759539949</v>
      </c>
      <c r="C29" s="273">
        <v>1.5</v>
      </c>
      <c r="D29" s="273">
        <f t="shared" si="84" ref="D29:D37">(B29*C29)-B29</f>
        <v>585677.787977</v>
      </c>
      <c r="E29" s="274">
        <f t="shared" si="85" ref="E29:E37">(20/100)*D29</f>
        <v>117135.55759540001</v>
      </c>
      <c r="F29" s="273">
        <f t="shared" si="86" ref="F29:F37">D29-E29</f>
        <v>468542.2303816</v>
      </c>
      <c r="G29" s="275" t="s">
        <v>169</v>
      </c>
      <c r="H29" s="273">
        <v>22.0</v>
      </c>
    </row>
    <row r="30" spans="8:8" ht="15.75" customHeight="1">
      <c r="A30" s="273">
        <v>23.0</v>
      </c>
      <c r="B30" s="273">
        <f t="shared" si="87" ref="B30:B37">B29+F29</f>
        <v>1639897.8063355898</v>
      </c>
      <c r="C30" s="273">
        <v>1.5</v>
      </c>
      <c r="D30" s="273">
        <f t="shared" si="88" ref="D30:D37">(B30*C30)-B30</f>
        <v>819948.9031677998</v>
      </c>
      <c r="E30" s="274">
        <f t="shared" si="89" ref="E30:E37">(20/100)*D30</f>
        <v>163989.78063355997</v>
      </c>
      <c r="F30" s="273">
        <f t="shared" si="90" ref="F30:F37">D30-E30</f>
        <v>655959.12253424</v>
      </c>
      <c r="G30" s="275" t="s">
        <v>170</v>
      </c>
      <c r="H30" s="273">
        <v>23.0</v>
      </c>
    </row>
    <row r="31" spans="8:8" ht="15.75" customHeight="1">
      <c r="A31" s="273">
        <v>24.0</v>
      </c>
      <c r="B31" s="273">
        <f t="shared" si="91" ref="B31:B37">B30+F30</f>
        <v>2295856.92886983</v>
      </c>
      <c r="C31" s="273">
        <v>1.5</v>
      </c>
      <c r="D31" s="273">
        <f t="shared" si="92" ref="D31:D37">(B31*C31)-B31</f>
        <v>1147928.46443491</v>
      </c>
      <c r="E31" s="274">
        <f t="shared" si="93" ref="E31:E37">(20/100)*D31</f>
        <v>229585.69288698203</v>
      </c>
      <c r="F31" s="273">
        <f t="shared" si="94" ref="F31:F37">D31-E31</f>
        <v>918342.7715479281</v>
      </c>
      <c r="G31" s="275" t="s">
        <v>171</v>
      </c>
      <c r="H31" s="273">
        <v>24.0</v>
      </c>
    </row>
    <row r="32" spans="8:8" ht="15.75" customHeight="1">
      <c r="A32" s="273">
        <v>25.0</v>
      </c>
      <c r="B32" s="273">
        <f t="shared" si="95" ref="B32:B37">B31+F31</f>
        <v>3214199.700417758</v>
      </c>
      <c r="C32" s="273">
        <v>1.5</v>
      </c>
      <c r="D32" s="273">
        <f t="shared" si="96" ref="D32:D37">(B32*C32)-B32</f>
        <v>1607099.8502088804</v>
      </c>
      <c r="E32" s="274">
        <f t="shared" si="97" ref="E32:E37">(20/100)*D32</f>
        <v>321419.9700417761</v>
      </c>
      <c r="F32" s="273">
        <f t="shared" si="98" ref="F32:F37">D32-E32</f>
        <v>1285679.8801671038</v>
      </c>
      <c r="G32" s="275" t="s">
        <v>172</v>
      </c>
      <c r="H32" s="273">
        <v>25.0</v>
      </c>
    </row>
    <row r="33" spans="8:8" ht="15.75" customHeight="1">
      <c r="A33" s="273">
        <v>26.0</v>
      </c>
      <c r="B33" s="273">
        <f t="shared" si="99" ref="B33:B37">B32+F32</f>
        <v>4499879.5805848595</v>
      </c>
      <c r="C33" s="273">
        <v>1.5</v>
      </c>
      <c r="D33" s="273">
        <f t="shared" si="100" ref="D33:D37">(B33*C33)-B33</f>
        <v>2249939.7902924297</v>
      </c>
      <c r="E33" s="274">
        <f t="shared" si="101" ref="E33:E37">(20/100)*D33</f>
        <v>449987.958058486</v>
      </c>
      <c r="F33" s="273">
        <f t="shared" si="102" ref="F33:F37">D33-E33</f>
        <v>1799951.8322339442</v>
      </c>
      <c r="G33" s="275" t="s">
        <v>173</v>
      </c>
      <c r="H33" s="273">
        <v>26.0</v>
      </c>
    </row>
    <row r="34" spans="8:8" ht="15.75" customHeight="1">
      <c r="A34" s="273">
        <v>27.0</v>
      </c>
      <c r="B34" s="273">
        <f t="shared" si="103" ref="B34:B37">B33+F33</f>
        <v>6299831.412818801</v>
      </c>
      <c r="C34" s="273">
        <v>1.5</v>
      </c>
      <c r="D34" s="273">
        <f t="shared" si="104" ref="D34:D37">(B34*C34)-B34</f>
        <v>3149915.7064093994</v>
      </c>
      <c r="E34" s="274">
        <f t="shared" si="105" ref="E34:E37">(20/100)*D34</f>
        <v>629983.14128188</v>
      </c>
      <c r="F34" s="273">
        <f t="shared" si="106" ref="F34:F37">D34-E34</f>
        <v>2519932.56512752</v>
      </c>
      <c r="G34" s="275" t="s">
        <v>174</v>
      </c>
      <c r="H34" s="273">
        <v>27.0</v>
      </c>
    </row>
    <row r="35" spans="8:8" ht="15.75" customHeight="1">
      <c r="A35" s="273">
        <v>28.0</v>
      </c>
      <c r="B35" s="273">
        <f t="shared" si="107" ref="B35:B37">B34+F34</f>
        <v>8819763.977946319</v>
      </c>
      <c r="C35" s="273">
        <v>1.5</v>
      </c>
      <c r="D35" s="273">
        <f t="shared" si="108" ref="D35:D37">(B35*C35)-B35</f>
        <v>4409881.98897318</v>
      </c>
      <c r="E35" s="274">
        <f t="shared" si="109" ref="E35:E37">(20/100)*D35</f>
        <v>881976.397794636</v>
      </c>
      <c r="F35" s="273">
        <f t="shared" si="110" ref="F35:F37">D35-E35</f>
        <v>3527905.591178544</v>
      </c>
      <c r="G35" s="275" t="s">
        <v>175</v>
      </c>
      <c r="H35" s="273">
        <v>28.0</v>
      </c>
    </row>
    <row r="36" spans="8:8" ht="15.75" customHeight="1">
      <c r="A36" s="273">
        <v>29.0</v>
      </c>
      <c r="B36" s="273">
        <f t="shared" si="111" ref="B36:B37">B35+F35</f>
        <v>1.234766956912486E7</v>
      </c>
      <c r="C36" s="273">
        <v>1.5</v>
      </c>
      <c r="D36" s="273">
        <f t="shared" si="112" ref="D36:D37">(B36*C36)-B36</f>
        <v>6173834.7845624015</v>
      </c>
      <c r="E36" s="274">
        <f t="shared" si="113" ref="E36:E37">(20/100)*D36</f>
        <v>1234766.9569124803</v>
      </c>
      <c r="F36" s="273">
        <f t="shared" si="114" ref="F36:F37">D36-E36</f>
        <v>4939067.827649919</v>
      </c>
      <c r="G36" s="275" t="s">
        <v>176</v>
      </c>
      <c r="H36" s="273">
        <v>29.0</v>
      </c>
    </row>
    <row r="37" spans="8:8" ht="15.75" customHeight="1">
      <c r="A37" s="273">
        <v>30.0</v>
      </c>
      <c r="B37" s="273">
        <f t="shared" si="115" ref="B37">B36+F36</f>
        <v>1.728673739677482E7</v>
      </c>
      <c r="C37" s="273">
        <v>1.5</v>
      </c>
      <c r="D37" s="273">
        <f t="shared" si="116" ref="D37">(B37*C37)-B37</f>
        <v>8643368.698387403</v>
      </c>
      <c r="E37" s="274">
        <f t="shared" si="117" ref="E37">(20/100)*D37</f>
        <v>1728673.7396774807</v>
      </c>
      <c r="F37" s="273">
        <f t="shared" si="118" ref="F37">D37-E37</f>
        <v>6914694.95870992</v>
      </c>
      <c r="G37" s="275" t="s">
        <v>177</v>
      </c>
      <c r="H37" s="273">
        <v>30.0</v>
      </c>
    </row>
    <row r="38" spans="8:8" ht="15.75" customHeight="1">
      <c r="A38" s="226"/>
      <c r="B38" s="273">
        <f>COUNT(B8:B37)</f>
        <v>30.0</v>
      </c>
      <c r="C38" s="226"/>
      <c r="D38" s="226"/>
      <c r="E38" s="273">
        <f>SUM(E8:E37)</f>
        <v>6050108.088871179</v>
      </c>
      <c r="F38" s="226"/>
      <c r="G38" s="226"/>
      <c r="H38" s="226"/>
      <c r="I38">
        <f>PRODUCT(I8:I37)</f>
        <v>2.1003416575999996</v>
      </c>
    </row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</sheetData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Company>HP</Company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2022-09-19T15:38:02Z</dcterms:created>
  <dcterms:modified xsi:type="dcterms:W3CDTF">2026-06-11T03:19:42Z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6c3f989cfc094e03ac6f5c6e594eb1ce</vt:lpwstr>
  </property>
</Properties>
</file>