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270" windowWidth="14940" windowHeight="915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??_-;_-@"/>
    <numFmt numFmtId="165" formatCode="_-* #,##0.00_-;\-* #,##0.00_-;_-* &quot;-&quot;??_-;_-@"/>
    <numFmt numFmtId="166" formatCode="0.0000000000"/>
    <numFmt numFmtId="167" formatCode="0.0"/>
  </numFmts>
  <fonts count="57">
    <font>
      <name val="Arial"/>
      <sz val="11"/>
    </font>
    <font>
      <name val="Arial"/>
      <sz val="11"/>
    </font>
    <font>
      <name val="Arial"/>
      <color rgb="FFFFFFFF"/>
      <sz val="11"/>
    </font>
    <font>
      <name val="Tahoma"/>
      <b val="1"/>
      <color rgb="FFFFFFFF"/>
      <sz val="12"/>
    </font>
    <font>
      <name val="Arial"/>
      <b val="1"/>
      <color rgb="FFFFFFFF"/>
      <sz val="11"/>
    </font>
    <font>
      <name val="Calibri"/>
      <color rgb="FF000000"/>
      <sz val="10"/>
    </font>
    <font>
      <name val="Calibri"/>
      <color rgb="FFFFFFFF"/>
      <sz val="10"/>
    </font>
    <font>
      <name val="Calibri"/>
      <b val="1"/>
      <color rgb="FF000000"/>
      <sz val="10"/>
    </font>
    <font>
      <name val="Arial"/>
      <sz val="11"/>
    </font>
    <font>
      <name val="Calibri"/>
      <sz val="11"/>
    </font>
    <font>
      <name val="Calibri"/>
      <color rgb="FFFFFFFF"/>
      <sz val="11"/>
    </font>
    <font>
      <name val="Arial"/>
      <color rgb="FFFFFFFF"/>
      <sz val="11"/>
    </font>
    <font>
      <name val="Arial"/>
      <b val="1"/>
      <color rgb="FFFFFFFF"/>
      <sz val="14"/>
    </font>
    <font>
      <name val="Arial"/>
      <sz val="11"/>
    </font>
    <font>
      <name val="Arial"/>
      <color rgb="FFFFFFFF"/>
      <sz val="14"/>
    </font>
    <font>
      <name val="Tahoma"/>
      <color rgb="FFCC99FF"/>
      <sz val="11"/>
      <u val="single"/>
    </font>
    <font>
      <name val="Tahoma"/>
      <color rgb="FFCC99FF"/>
      <sz val="11"/>
    </font>
    <font>
      <name val="Arial"/>
      <color rgb="FFCC99FF"/>
      <sz val="11"/>
    </font>
    <font>
      <name val="Arial"/>
      <color rgb="FF993300"/>
      <sz val="11"/>
    </font>
    <font>
      <name val="Calibri"/>
      <b val="1"/>
      <sz val="11"/>
    </font>
    <font>
      <name val="Calibri"/>
      <b val="1"/>
      <color rgb="FF000000"/>
      <sz val="11"/>
    </font>
    <font>
      <name val="Arial"/>
      <color rgb="FFFF6600"/>
      <sz val="11"/>
    </font>
    <font>
      <name val="Calibri"/>
      <color rgb="FF000000"/>
      <sz val="11"/>
    </font>
    <font>
      <name val="Calibri"/>
      <color rgb="FFFF6600"/>
      <sz val="11"/>
    </font>
    <font>
      <name val="Calibri"/>
      <color rgb="FFBF0000"/>
      <sz val="11"/>
    </font>
    <font>
      <name val="Calibri"/>
      <color rgb="FF800000"/>
      <sz val="11"/>
    </font>
    <font>
      <name val="Arial"/>
      <b val="1"/>
      <sz val="11"/>
    </font>
    <font>
      <name val="Arial"/>
      <color rgb="FF808080"/>
      <sz val="11"/>
    </font>
    <font>
      <name val="Arial"/>
      <color rgb="FF9933FF"/>
      <sz val="11"/>
    </font>
    <font>
      <name val="Calibri"/>
      <b val="1"/>
      <sz val="12"/>
    </font>
    <font>
      <name val="Arial"/>
      <b val="1"/>
      <color rgb="FFFFFFFF"/>
      <sz val="12"/>
    </font>
    <font>
      <name val="Arial"/>
      <b val="1"/>
      <sz val="12"/>
    </font>
    <font>
      <name val="Arial"/>
      <color rgb="FF02A5E3"/>
      <sz val="11"/>
    </font>
    <font>
      <name val="Calibri"/>
      <b val="1"/>
      <color rgb="FFBF0000"/>
      <sz val="14"/>
    </font>
    <font>
      <name val="Calibri"/>
      <b val="1"/>
      <color rgb="FFFFFFFF"/>
      <sz val="11"/>
    </font>
    <font>
      <name val="Calibri"/>
      <b val="1"/>
      <color rgb="FFFF0000"/>
      <sz val="11"/>
    </font>
    <font>
      <name val="Calibri"/>
      <b val="1"/>
      <color rgb="FF02A5E3"/>
      <sz val="11"/>
    </font>
    <font>
      <name val="Calibri"/>
      <color rgb="FFFF0000"/>
      <sz val="11"/>
    </font>
    <font>
      <name val="Calibri"/>
      <color rgb="FF02A5E3"/>
      <sz val="11"/>
    </font>
    <font>
      <name val="Arial"/>
      <color rgb="FF92D04F"/>
      <sz val="11"/>
    </font>
    <font>
      <name val="Arial"/>
      <color rgb="FFBF0000"/>
      <sz val="11"/>
    </font>
    <font>
      <name val="Arial"/>
      <color rgb="FF000000"/>
      <sz val="11"/>
    </font>
    <font>
      <name val="Calibri"/>
      <color rgb="FF7030A0"/>
      <sz val="11"/>
    </font>
    <font>
      <name val="Calibri"/>
      <color rgb="FF800080"/>
      <sz val="11"/>
      <u val="single"/>
    </font>
    <font>
      <name val="Arial"/>
      <sz val="11"/>
    </font>
    <font>
      <name val="Arial"/>
      <sz val="11"/>
    </font>
    <font>
      <name val="Arial"/>
      <sz val="11"/>
    </font>
    <font>
      <name val="Arial"/>
      <b val="1"/>
      <sz val="14"/>
    </font>
    <font>
      <name val="Arial"/>
      <b val="1"/>
      <color rgb="FFC00000"/>
      <sz val="14"/>
    </font>
    <font>
      <name val="Arial"/>
      <sz val="11"/>
    </font>
    <font>
      <name val="Arial"/>
      <sz val="11"/>
    </font>
    <font>
      <name val="Arial"/>
      <sz val="12"/>
    </font>
    <font>
      <name val="Arial"/>
      <i val="1"/>
      <sz val="11"/>
    </font>
    <font>
      <name val="Times New Roman"/>
      <b val="1"/>
      <color rgb="FF1F4E79"/>
      <sz val="16"/>
    </font>
    <font>
      <name val="Calibri"/>
      <b val="1"/>
      <sz val="14"/>
    </font>
    <font>
      <name val="Calibri"/>
      <sz val="18"/>
    </font>
    <font>
      <name val="Calibri"/>
      <sz val="16"/>
    </font>
  </fonts>
  <fills count="34">
    <fill>
      <patternFill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C99FF"/>
      </patternFill>
    </fill>
    <fill>
      <patternFill patternType="solid">
        <fgColor rgb="FFCC99FF"/>
        <bgColor rgb="FFF0F0F0"/>
      </patternFill>
    </fill>
    <fill>
      <patternFill patternType="solid">
        <fgColor rgb="FFCC99FF"/>
        <bgColor rgb="FFFFFFFF"/>
      </patternFill>
    </fill>
    <fill>
      <patternFill patternType="solid">
        <fgColor rgb="FFCC99FF"/>
        <bgColor rgb="FFCC99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9900FF"/>
        <bgColor rgb="FF9900FF"/>
      </patternFill>
    </fill>
    <fill>
      <patternFill patternType="solid">
        <fgColor rgb="FFFFE100"/>
        <bgColor rgb="FFFFE100"/>
      </patternFill>
    </fill>
    <fill>
      <patternFill patternType="solid">
        <fgColor rgb="FF92D04F"/>
        <bgColor rgb="FF92D04F"/>
      </patternFill>
    </fill>
    <fill>
      <patternFill patternType="solid">
        <fgColor rgb="FF00B050"/>
        <bgColor rgb="FFF3F3F3"/>
      </patternFill>
    </fill>
    <fill>
      <patternFill patternType="solid">
        <fgColor rgb="FF8E7CC3"/>
        <bgColor rgb="FF8E7CC3"/>
      </patternFill>
    </fill>
    <fill>
      <patternFill patternType="solid">
        <fgColor rgb="FF02A5E3"/>
        <bgColor rgb="FFFFFFFF"/>
      </patternFill>
    </fill>
    <fill>
      <patternFill patternType="solid">
        <fgColor rgb="FF92D04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B4C7E7"/>
        <bgColor rgb="FFB4C7E7"/>
      </patternFill>
    </fill>
    <fill>
      <patternFill patternType="solid">
        <fgColor rgb="FFA8D08E"/>
        <bgColor rgb="FFA8D08E"/>
      </patternFill>
    </fill>
    <fill>
      <patternFill patternType="solid">
        <fgColor rgb="FFFFF2CB"/>
        <bgColor rgb="FFFFF2CB"/>
      </patternFill>
    </fill>
    <fill>
      <patternFill patternType="solid">
        <fgColor rgb="FFBED7EE"/>
        <bgColor rgb="FFBED7EE"/>
      </patternFill>
    </fill>
    <fill>
      <patternFill patternType="solid">
        <fgColor rgb="FFC9C9C9"/>
        <bgColor rgb="FFC9C9C9"/>
      </patternFill>
    </fill>
    <fill>
      <patternFill patternType="solid">
        <fgColor rgb="FF02A5E3"/>
        <bgColor rgb="FF02A5E3"/>
      </patternFill>
    </fill>
    <fill>
      <patternFill patternType="solid">
        <fgColor rgb="FFFFC000"/>
        <bgColor rgb="FFFFC000"/>
      </patternFill>
    </fill>
    <fill>
      <patternFill patternType="solid">
        <fgColor rgb="FFD04617"/>
        <bgColor rgb="FFD04617"/>
      </patternFill>
    </fill>
    <fill>
      <patternFill patternType="solid">
        <fgColor rgb="FFDBDBDB"/>
        <bgColor rgb="FFDBDBDB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C5E0B3"/>
        <bgColor rgb="FFC5E0B3"/>
      </patternFill>
    </fill>
    <fill>
      <patternFill patternType="solid">
        <fgColor rgb="FF9DC3E5"/>
        <bgColor rgb="FF9DC3E5"/>
      </patternFill>
    </fill>
    <fill>
      <patternFill patternType="solid">
        <fgColor rgb="FFBFBFBF"/>
        <bgColor rgb="FFBFBFBF"/>
      </patternFill>
    </fill>
    <fill>
      <patternFill patternType="solid">
        <fgColor rgb="FFDEEAF6"/>
        <bgColor rgb="FFDEEAF6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/>
      <top style="thin">
        <color indexed="64"/>
      </top>
      <bottom style="thin">
        <color rgb="FFDDDDDD"/>
      </bottom>
      <diagonal/>
    </border>
    <border>
      <left/>
      <right/>
      <top style="thin">
        <color indexed="64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rgb="FFDDDDDD"/>
      </bottom>
      <diagonal/>
    </border>
    <border>
      <left style="thin">
        <color indexed="64"/>
      </left>
      <right/>
      <top/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indexed="64"/>
      </right>
      <top/>
      <bottom style="thin">
        <color rgb="FFDDDDDD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</borders>
  <cellStyleXfs count="1">
    <xf numFmtId="0" fontId="50" fillId="0" borderId="0" applyAlignment="1">
      <alignment vertical="center"/>
    </xf>
  </cellStyleXfs>
  <cellXfs count="281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2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3" borderId="0" applyAlignment="1" pivotButton="0" quotePrefix="0" xfId="0">
      <alignment horizontal="right"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9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2" fontId="10" fillId="3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4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vertical="center"/>
    </xf>
    <xf numFmtId="9" fontId="10" fillId="4" borderId="0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2" fontId="15" fillId="5" borderId="2" applyAlignment="1" pivotButton="0" quotePrefix="0" xfId="0">
      <alignment horizontal="right" vertical="center"/>
    </xf>
    <xf numFmtId="0" fontId="16" fillId="6" borderId="3" applyAlignment="1" pivotButton="0" quotePrefix="0" xfId="0">
      <alignment horizontal="center" vertical="center"/>
    </xf>
    <xf numFmtId="2" fontId="16" fillId="6" borderId="3" applyAlignment="1" pivotButton="0" quotePrefix="0" xfId="0">
      <alignment horizontal="center" vertical="center"/>
    </xf>
    <xf numFmtId="0" fontId="16" fillId="6" borderId="3" applyAlignment="1" pivotButton="0" quotePrefix="0" xfId="0">
      <alignment horizontal="left" vertical="center"/>
    </xf>
    <xf numFmtId="2" fontId="16" fillId="6" borderId="4" applyAlignment="1" pivotButton="0" quotePrefix="0" xfId="0">
      <alignment horizontal="center" vertical="center"/>
    </xf>
    <xf numFmtId="2" fontId="1" fillId="3" borderId="0" applyAlignment="1" pivotButton="0" quotePrefix="0" xfId="0">
      <alignment vertical="center"/>
    </xf>
    <xf numFmtId="9" fontId="10" fillId="3" borderId="0" applyAlignment="1" pivotButton="0" quotePrefix="0" xfId="0">
      <alignment vertical="center"/>
    </xf>
    <xf numFmtId="0" fontId="15" fillId="5" borderId="5" applyAlignment="1" pivotButton="0" quotePrefix="0" xfId="0">
      <alignment horizontal="right" vertical="center"/>
    </xf>
    <xf numFmtId="0" fontId="16" fillId="7" borderId="6" applyAlignment="1" pivotButton="0" quotePrefix="0" xfId="0">
      <alignment horizontal="center" vertical="center"/>
    </xf>
    <xf numFmtId="2" fontId="16" fillId="7" borderId="6" applyAlignment="1" pivotButton="0" quotePrefix="0" xfId="0">
      <alignment horizontal="center" vertical="center"/>
    </xf>
    <xf numFmtId="0" fontId="16" fillId="7" borderId="6" applyAlignment="1" pivotButton="0" quotePrefix="0" xfId="0">
      <alignment horizontal="left" vertical="center"/>
    </xf>
    <xf numFmtId="2" fontId="16" fillId="7" borderId="7" applyAlignment="1" pivotButton="0" quotePrefix="0" xfId="0">
      <alignment horizontal="center" vertical="center"/>
    </xf>
    <xf numFmtId="2" fontId="1" fillId="4" borderId="0" applyAlignment="1" pivotButton="0" quotePrefix="0" xfId="0">
      <alignment vertical="center"/>
    </xf>
    <xf numFmtId="2" fontId="10" fillId="4" borderId="0" applyAlignment="1" pivotButton="0" quotePrefix="0" xfId="0">
      <alignment vertical="center"/>
    </xf>
    <xf numFmtId="2" fontId="16" fillId="7" borderId="6" applyAlignment="1" pivotButton="0" quotePrefix="0" xfId="0">
      <alignment horizontal="left" vertical="center"/>
    </xf>
    <xf numFmtId="0" fontId="15" fillId="8" borderId="5" applyAlignment="1" pivotButton="0" quotePrefix="0" xfId="0">
      <alignment horizontal="right" vertical="center"/>
    </xf>
    <xf numFmtId="0" fontId="16" fillId="8" borderId="6" applyAlignment="1" pivotButton="0" quotePrefix="0" xfId="0">
      <alignment horizontal="center" vertical="center"/>
    </xf>
    <xf numFmtId="2" fontId="16" fillId="8" borderId="6" applyAlignment="1" pivotButton="0" quotePrefix="0" xfId="0">
      <alignment horizontal="center" vertical="center"/>
    </xf>
    <xf numFmtId="0" fontId="16" fillId="8" borderId="6" applyAlignment="1" pivotButton="0" quotePrefix="0" xfId="0">
      <alignment horizontal="left" vertical="center"/>
    </xf>
    <xf numFmtId="2" fontId="16" fillId="8" borderId="7" applyAlignment="1" pivotButton="0" quotePrefix="0" xfId="0">
      <alignment horizontal="center" vertical="center"/>
    </xf>
    <xf numFmtId="2" fontId="16" fillId="8" borderId="6" applyAlignment="1" pivotButton="0" quotePrefix="0" xfId="0">
      <alignment horizontal="left" vertical="center"/>
    </xf>
    <xf numFmtId="0" fontId="16" fillId="8" borderId="5" applyAlignment="1" pivotButton="0" quotePrefix="0" xfId="0">
      <alignment horizontal="right" vertical="center"/>
    </xf>
    <xf numFmtId="0" fontId="17" fillId="8" borderId="8" applyAlignment="1" pivotButton="0" quotePrefix="0" xfId="0">
      <alignment horizontal="left" vertical="center" wrapText="1"/>
    </xf>
    <xf numFmtId="0" fontId="17" fillId="8" borderId="9" applyAlignment="1" pivotButton="0" quotePrefix="0" xfId="0">
      <alignment horizontal="center" vertical="center" wrapText="1"/>
    </xf>
    <xf numFmtId="2" fontId="17" fillId="8" borderId="9" applyAlignment="1" pivotButton="0" quotePrefix="0" xfId="0">
      <alignment horizontal="center" vertical="center" wrapText="1"/>
    </xf>
    <xf numFmtId="0" fontId="17" fillId="8" borderId="9" applyAlignment="1" pivotButton="0" quotePrefix="0" xfId="0">
      <alignment vertical="center" wrapText="1"/>
    </xf>
    <xf numFmtId="2" fontId="17" fillId="8" borderId="1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17" fillId="8" borderId="11" applyAlignment="1" pivotButton="0" quotePrefix="0" xfId="0">
      <alignment vertical="center"/>
    </xf>
    <xf numFmtId="0" fontId="17" fillId="5" borderId="12" applyAlignment="1" pivotButton="0" quotePrefix="0" xfId="0">
      <alignment vertical="center"/>
    </xf>
    <xf numFmtId="0" fontId="17" fillId="5" borderId="13" applyAlignment="1" pivotButton="0" quotePrefix="0" xfId="0">
      <alignment vertical="center"/>
    </xf>
    <xf numFmtId="0" fontId="13" fillId="4" borderId="0" applyAlignment="1" pivotButton="0" quotePrefix="0" xfId="0">
      <alignment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vertical="center"/>
    </xf>
    <xf numFmtId="2" fontId="9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 wrapText="1"/>
    </xf>
    <xf numFmtId="0" fontId="18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19" fillId="3" borderId="0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20" fillId="3" borderId="0" applyAlignment="1" pivotButton="0" quotePrefix="0" xfId="0">
      <alignment horizontal="center" vertical="center"/>
    </xf>
    <xf numFmtId="0" fontId="14" fillId="4" borderId="0" applyAlignment="1" pivotButton="0" quotePrefix="0" xfId="0">
      <alignment vertical="center"/>
    </xf>
    <xf numFmtId="0" fontId="2" fillId="4" borderId="14" applyAlignment="1" pivotButton="0" quotePrefix="0" xfId="0">
      <alignment vertical="center"/>
    </xf>
    <xf numFmtId="0" fontId="21" fillId="4" borderId="0" applyAlignment="1" pivotButton="0" quotePrefix="0" xfId="0">
      <alignment vertical="center"/>
    </xf>
    <xf numFmtId="0" fontId="22" fillId="4" borderId="0" applyAlignment="1" pivotButton="0" quotePrefix="0" xfId="0">
      <alignment vertical="bottom"/>
    </xf>
    <xf numFmtId="0" fontId="9" fillId="4" borderId="0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vertical="center"/>
    </xf>
    <xf numFmtId="0" fontId="23" fillId="3" borderId="0" applyAlignment="1" pivotButton="0" quotePrefix="0" xfId="0">
      <alignment horizontal="left" vertical="top"/>
    </xf>
    <xf numFmtId="0" fontId="22" fillId="3" borderId="16" applyAlignment="1" pivotButton="0" quotePrefix="0" xfId="0">
      <alignment vertical="bottom"/>
    </xf>
    <xf numFmtId="0" fontId="20" fillId="3" borderId="16" applyAlignment="1" pivotButton="0" quotePrefix="0" xfId="0">
      <alignment vertical="bottom"/>
    </xf>
    <xf numFmtId="0" fontId="2" fillId="4" borderId="17" applyAlignment="1" pivotButton="0" quotePrefix="0" xfId="0">
      <alignment horizontal="center" vertical="center"/>
    </xf>
    <xf numFmtId="0" fontId="2" fillId="4" borderId="15" applyAlignment="1" pivotButton="0" quotePrefix="0" xfId="0">
      <alignment vertical="center"/>
    </xf>
    <xf numFmtId="0" fontId="2" fillId="3" borderId="17" applyAlignment="1" pivotButton="0" quotePrefix="0" xfId="0">
      <alignment horizontal="center" vertical="center"/>
    </xf>
    <xf numFmtId="0" fontId="2" fillId="3" borderId="15" applyAlignment="1" pivotButton="0" quotePrefix="0" xfId="0">
      <alignment vertical="center"/>
    </xf>
    <xf numFmtId="0" fontId="21" fillId="3" borderId="0" applyAlignment="1" pivotButton="0" quotePrefix="0" xfId="0">
      <alignment vertical="center"/>
    </xf>
    <xf numFmtId="0" fontId="4" fillId="9" borderId="18" applyAlignment="1" pivotButton="0" quotePrefix="0" xfId="0">
      <alignment horizontal="center" vertical="center"/>
    </xf>
    <xf numFmtId="0" fontId="23" fillId="3" borderId="0" applyAlignment="1" pivotButton="0" quotePrefix="0" xfId="0">
      <alignment vertical="center"/>
    </xf>
    <xf numFmtId="0" fontId="24" fillId="3" borderId="0" applyAlignment="1" pivotButton="0" quotePrefix="0" xfId="0">
      <alignment vertical="center"/>
    </xf>
    <xf numFmtId="0" fontId="1" fillId="4" borderId="17" applyAlignment="1" pivotButton="0" quotePrefix="0" xfId="0">
      <alignment horizontal="center" vertical="center"/>
    </xf>
    <xf numFmtId="0" fontId="1" fillId="3" borderId="17" applyAlignment="1" pivotButton="0" quotePrefix="0" xfId="0">
      <alignment horizontal="center" vertical="center"/>
    </xf>
    <xf numFmtId="0" fontId="1" fillId="4" borderId="17" applyAlignment="1" pivotButton="0" quotePrefix="0" xfId="0">
      <alignment vertical="center"/>
    </xf>
    <xf numFmtId="0" fontId="1" fillId="3" borderId="17" applyAlignment="1" pivotButton="0" quotePrefix="0" xfId="0">
      <alignment vertical="center"/>
    </xf>
    <xf numFmtId="0" fontId="25" fillId="4" borderId="0" applyAlignment="1" pivotButton="0" quotePrefix="0" xfId="0">
      <alignment vertical="center"/>
    </xf>
    <xf numFmtId="0" fontId="1" fillId="3" borderId="19" applyAlignment="1" pivotButton="0" quotePrefix="0" xfId="0">
      <alignment vertical="center"/>
    </xf>
    <xf numFmtId="0" fontId="21" fillId="3" borderId="20" applyAlignment="1" pivotButton="0" quotePrefix="0" xfId="0">
      <alignment vertical="center"/>
    </xf>
    <xf numFmtId="0" fontId="9" fillId="3" borderId="21" applyAlignment="1" pivotButton="0" quotePrefix="0" xfId="0">
      <alignment vertical="center"/>
    </xf>
    <xf numFmtId="0" fontId="1" fillId="4" borderId="22" applyAlignment="1" pivotButton="0" quotePrefix="0" xfId="0">
      <alignment vertical="center"/>
    </xf>
    <xf numFmtId="0" fontId="21" fillId="4" borderId="23" applyAlignment="1" pivotButton="0" quotePrefix="0" xfId="0">
      <alignment vertical="center"/>
    </xf>
    <xf numFmtId="0" fontId="9" fillId="4" borderId="24" applyAlignment="1" pivotButton="0" quotePrefix="0" xfId="0">
      <alignment vertical="center"/>
    </xf>
    <xf numFmtId="2" fontId="26" fillId="3" borderId="25" applyAlignment="1" pivotButton="0" quotePrefix="0" xfId="0">
      <alignment horizontal="center" vertical="center"/>
    </xf>
    <xf numFmtId="0" fontId="27" fillId="10" borderId="0" applyAlignment="1" pivotButton="0" quotePrefix="0" xfId="0">
      <alignment vertical="center"/>
    </xf>
    <xf numFmtId="0" fontId="28" fillId="11" borderId="0" applyAlignment="1" pivotButton="0" quotePrefix="0" xfId="0">
      <alignment vertical="center"/>
    </xf>
    <xf numFmtId="0" fontId="29" fillId="3" borderId="0" applyAlignment="1" pivotButton="0" quotePrefix="0" xfId="0">
      <alignment vertical="center"/>
    </xf>
    <xf numFmtId="0" fontId="29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3" borderId="26" applyAlignment="1" pivotButton="0" quotePrefix="0" xfId="0">
      <alignment vertical="center"/>
    </xf>
    <xf numFmtId="0" fontId="29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30" fillId="12" borderId="0" applyAlignment="1" pivotButton="0" quotePrefix="0" xfId="0">
      <alignment vertical="center"/>
    </xf>
    <xf numFmtId="0" fontId="30" fillId="13" borderId="0" applyAlignment="1" pivotButton="0" quotePrefix="0" xfId="0">
      <alignment vertical="center" wrapText="1"/>
    </xf>
    <xf numFmtId="0" fontId="31" fillId="4" borderId="0" applyAlignment="1" pivotButton="0" quotePrefix="0" xfId="0">
      <alignment vertical="center"/>
    </xf>
    <xf numFmtId="0" fontId="19" fillId="4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top"/>
    </xf>
    <xf numFmtId="0" fontId="32" fillId="3" borderId="0" applyAlignment="1" pivotButton="0" quotePrefix="0" xfId="0">
      <alignment vertical="center"/>
    </xf>
    <xf numFmtId="0" fontId="33" fillId="13" borderId="9" applyAlignment="1" pivotButton="0" quotePrefix="0" xfId="0">
      <alignment vertical="center"/>
    </xf>
    <xf numFmtId="0" fontId="34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 wrapText="1"/>
    </xf>
    <xf numFmtId="9" fontId="9" fillId="4" borderId="0" applyAlignment="1" pivotButton="0" quotePrefix="0" xfId="0">
      <alignment vertical="center"/>
    </xf>
    <xf numFmtId="9" fontId="9" fillId="3" borderId="0" applyAlignment="1" pivotButton="0" quotePrefix="0" xfId="0">
      <alignment vertical="center"/>
    </xf>
    <xf numFmtId="0" fontId="10" fillId="3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34" fillId="4" borderId="0" applyAlignment="1" pivotButton="0" quotePrefix="0" xfId="0">
      <alignment vertical="center"/>
    </xf>
    <xf numFmtId="0" fontId="35" fillId="4" borderId="0" applyAlignment="1" pivotButton="0" quotePrefix="0" xfId="0">
      <alignment vertical="center"/>
    </xf>
    <xf numFmtId="0" fontId="36" fillId="4" borderId="0" applyAlignment="1" pivotButton="0" quotePrefix="0" xfId="0">
      <alignment vertical="center"/>
    </xf>
    <xf numFmtId="9" fontId="19" fillId="4" borderId="0" applyAlignment="1" pivotButton="0" quotePrefix="0" xfId="0">
      <alignment vertical="center"/>
    </xf>
    <xf numFmtId="2" fontId="19" fillId="4" borderId="0" applyAlignment="1" pivotButton="0" quotePrefix="0" xfId="0">
      <alignment vertical="center"/>
    </xf>
    <xf numFmtId="0" fontId="37" fillId="3" borderId="0" applyAlignment="1" pivotButton="0" quotePrefix="0" xfId="0">
      <alignment vertical="center"/>
    </xf>
    <xf numFmtId="0" fontId="38" fillId="3" borderId="0" applyAlignment="1" pivotButton="0" quotePrefix="0" xfId="0">
      <alignment vertical="center"/>
    </xf>
    <xf numFmtId="9" fontId="19" fillId="3" borderId="0" applyAlignment="1" pivotButton="0" quotePrefix="0" xfId="0">
      <alignment vertical="center"/>
    </xf>
    <xf numFmtId="2" fontId="19" fillId="3" borderId="0" applyAlignment="1" pivotButton="0" quotePrefix="0" xfId="0">
      <alignment vertical="center"/>
    </xf>
    <xf numFmtId="0" fontId="37" fillId="4" borderId="0" applyAlignment="1" pivotButton="0" quotePrefix="0" xfId="0">
      <alignment vertical="center"/>
    </xf>
    <xf numFmtId="0" fontId="38" fillId="4" borderId="0" applyAlignment="1" pivotButton="0" quotePrefix="0" xfId="0">
      <alignment vertical="center"/>
    </xf>
    <xf numFmtId="2" fontId="9" fillId="4" borderId="0" applyAlignment="1" pivotButton="0" quotePrefix="0" xfId="0">
      <alignment vertical="center"/>
    </xf>
    <xf numFmtId="0" fontId="1" fillId="4" borderId="0" applyAlignment="1" pivotButton="0" quotePrefix="0" xfId="0">
      <alignment vertical="center" wrapText="1"/>
    </xf>
    <xf numFmtId="0" fontId="39" fillId="3" borderId="0" applyAlignment="1" pivotButton="0" quotePrefix="0" xfId="0">
      <alignment vertical="center"/>
    </xf>
    <xf numFmtId="0" fontId="40" fillId="3" borderId="0" applyAlignment="1" pivotButton="0" quotePrefix="0" xfId="0">
      <alignment vertical="center"/>
    </xf>
    <xf numFmtId="0" fontId="39" fillId="4" borderId="0" applyAlignment="1" pivotButton="0" quotePrefix="0" xfId="0">
      <alignment vertical="center"/>
    </xf>
    <xf numFmtId="0" fontId="40" fillId="4" borderId="0" applyAlignment="1" pivotButton="0" quotePrefix="0" xfId="0">
      <alignment vertical="center"/>
    </xf>
    <xf numFmtId="0" fontId="25" fillId="3" borderId="0" applyAlignment="1" pivotButton="0" quotePrefix="0" xfId="0">
      <alignment vertical="center"/>
    </xf>
    <xf numFmtId="0" fontId="41" fillId="3" borderId="0" applyAlignment="1" pivotButton="0" quotePrefix="0" xfId="0">
      <alignment vertical="center"/>
    </xf>
    <xf numFmtId="1" fontId="1" fillId="3" borderId="21" applyAlignment="1" pivotButton="0" quotePrefix="0" xfId="0">
      <alignment vertical="center"/>
    </xf>
    <xf numFmtId="1" fontId="9" fillId="4" borderId="0" applyAlignment="1" pivotButton="0" quotePrefix="0" xfId="0">
      <alignment vertical="center"/>
    </xf>
    <xf numFmtId="1" fontId="1" fillId="4" borderId="26" applyAlignment="1" pivotButton="0" quotePrefix="0" xfId="0">
      <alignment vertical="center"/>
    </xf>
    <xf numFmtId="1" fontId="1" fillId="4" borderId="0" applyAlignment="1" pivotButton="0" quotePrefix="0" xfId="0">
      <alignment vertical="center"/>
    </xf>
    <xf numFmtId="1" fontId="9" fillId="3" borderId="0" applyAlignment="1" pivotButton="0" quotePrefix="0" xfId="0">
      <alignment vertical="center"/>
    </xf>
    <xf numFmtId="0" fontId="42" fillId="3" borderId="0" applyAlignment="1" pivotButton="0" quotePrefix="0" xfId="0">
      <alignment vertical="center"/>
    </xf>
    <xf numFmtId="0" fontId="42" fillId="4" borderId="0" applyAlignment="1" pivotButton="0" quotePrefix="0" xfId="0">
      <alignment vertical="center"/>
    </xf>
    <xf numFmtId="0" fontId="1" fillId="4" borderId="9" applyAlignment="1" pivotButton="0" quotePrefix="0" xfId="0">
      <alignment vertical="center"/>
    </xf>
    <xf numFmtId="0" fontId="1" fillId="3" borderId="9" applyAlignment="1" pivotButton="0" quotePrefix="0" xfId="0">
      <alignment vertical="center"/>
    </xf>
    <xf numFmtId="0" fontId="9" fillId="4" borderId="9" applyAlignment="1" pivotButton="0" quotePrefix="0" xfId="0">
      <alignment vertical="center"/>
    </xf>
    <xf numFmtId="0" fontId="9" fillId="4" borderId="26" applyAlignment="1" pivotButton="0" quotePrefix="0" xfId="0">
      <alignment vertical="center"/>
    </xf>
    <xf numFmtId="0" fontId="9" fillId="3" borderId="9" applyAlignment="1" pivotButton="0" quotePrefix="0" xfId="0">
      <alignment vertical="center"/>
    </xf>
    <xf numFmtId="164" fontId="22" fillId="4" borderId="0" applyAlignment="1" pivotButton="0" quotePrefix="0" xfId="0">
      <alignment vertical="bottom"/>
    </xf>
    <xf numFmtId="165" fontId="22" fillId="3" borderId="0" applyAlignment="1" pivotButton="0" quotePrefix="0" xfId="0">
      <alignment vertical="bottom"/>
    </xf>
    <xf numFmtId="0" fontId="24" fillId="4" borderId="0" applyAlignment="1" pivotButton="0" quotePrefix="0" xfId="0">
      <alignment vertical="center"/>
    </xf>
    <xf numFmtId="1" fontId="24" fillId="3" borderId="0" applyAlignment="1" pivotButton="0" quotePrefix="0" xfId="0">
      <alignment vertical="center"/>
    </xf>
    <xf numFmtId="0" fontId="26" fillId="4" borderId="0" applyAlignment="1" pivotButton="0" quotePrefix="0" xfId="0">
      <alignment vertical="center"/>
    </xf>
    <xf numFmtId="0" fontId="43" fillId="3" borderId="0" applyAlignment="1" pivotButton="0" quotePrefix="0" xfId="0">
      <alignment vertical="center"/>
    </xf>
    <xf numFmtId="0" fontId="44" fillId="3" borderId="0" applyAlignment="1" pivotButton="0" quotePrefix="0" xfId="0">
      <alignment vertical="center"/>
    </xf>
    <xf numFmtId="0" fontId="44" fillId="4" borderId="0" applyAlignment="1" pivotButton="0" quotePrefix="0" xfId="0">
      <alignment vertical="center"/>
    </xf>
    <xf numFmtId="0" fontId="44" fillId="4" borderId="27" applyAlignment="1" pivotButton="0" quotePrefix="0" xfId="0">
      <alignment vertical="center"/>
    </xf>
    <xf numFmtId="0" fontId="44" fillId="4" borderId="28" applyAlignment="1" pivotButton="0" quotePrefix="0" xfId="0">
      <alignment vertical="center"/>
    </xf>
    <xf numFmtId="0" fontId="44" fillId="4" borderId="29" applyAlignment="1" pivotButton="0" quotePrefix="0" xfId="0">
      <alignment vertical="center"/>
    </xf>
    <xf numFmtId="0" fontId="45" fillId="3" borderId="0" applyAlignment="1" pivotButton="0" quotePrefix="0" xfId="0">
      <alignment vertical="center"/>
    </xf>
    <xf numFmtId="0" fontId="44" fillId="3" borderId="30" applyAlignment="1" pivotButton="0" quotePrefix="0" xfId="0">
      <alignment vertical="center"/>
    </xf>
    <xf numFmtId="0" fontId="44" fillId="3" borderId="0" applyAlignment="1" pivotButton="0" quotePrefix="0" xfId="0">
      <alignment vertical="center"/>
    </xf>
    <xf numFmtId="0" fontId="44" fillId="3" borderId="31" applyAlignment="1" pivotButton="0" quotePrefix="0" xfId="0">
      <alignment vertical="center"/>
    </xf>
    <xf numFmtId="0" fontId="45" fillId="4" borderId="0" applyAlignment="1" pivotButton="0" quotePrefix="0" xfId="0">
      <alignment vertical="center"/>
    </xf>
    <xf numFmtId="0" fontId="44" fillId="4" borderId="30" applyAlignment="1" pivotButton="0" quotePrefix="0" xfId="0">
      <alignment vertical="center"/>
    </xf>
    <xf numFmtId="0" fontId="44" fillId="4" borderId="0" applyAlignment="1" pivotButton="0" quotePrefix="0" xfId="0">
      <alignment vertical="center"/>
    </xf>
    <xf numFmtId="0" fontId="44" fillId="4" borderId="31" applyAlignment="1" pivotButton="0" quotePrefix="0" xfId="0">
      <alignment vertical="center"/>
    </xf>
    <xf numFmtId="0" fontId="44" fillId="3" borderId="32" applyAlignment="1" pivotButton="0" quotePrefix="0" xfId="0">
      <alignment vertical="center"/>
    </xf>
    <xf numFmtId="0" fontId="44" fillId="3" borderId="33" applyAlignment="1" pivotButton="0" quotePrefix="0" xfId="0">
      <alignment vertical="center"/>
    </xf>
    <xf numFmtId="0" fontId="44" fillId="3" borderId="34" applyAlignment="1" pivotButton="0" quotePrefix="0" xfId="0">
      <alignment vertical="center"/>
    </xf>
    <xf numFmtId="0" fontId="46" fillId="14" borderId="0" applyAlignment="1" pivotButton="0" quotePrefix="0" xfId="0">
      <alignment vertical="center"/>
    </xf>
    <xf numFmtId="0" fontId="46" fillId="3" borderId="0" applyAlignment="1" pivotButton="0" quotePrefix="0" xfId="0">
      <alignment vertical="center"/>
    </xf>
    <xf numFmtId="0" fontId="47" fillId="4" borderId="0" applyAlignment="1" pivotButton="0" quotePrefix="0" xfId="0">
      <alignment horizontal="right" vertical="center"/>
    </xf>
    <xf numFmtId="0" fontId="48" fillId="15" borderId="0" applyAlignment="1" pivotButton="0" quotePrefix="0" xfId="0">
      <alignment vertical="center"/>
    </xf>
    <xf numFmtId="0" fontId="40" fillId="4" borderId="0" applyAlignment="1" pivotButton="0" quotePrefix="0" xfId="0">
      <alignment vertical="center"/>
    </xf>
    <xf numFmtId="0" fontId="46" fillId="4" borderId="0" applyAlignment="1" pivotButton="0" quotePrefix="0" xfId="0">
      <alignment vertical="center"/>
    </xf>
    <xf numFmtId="0" fontId="46" fillId="4" borderId="35" applyAlignment="1" pivotButton="0" quotePrefix="0" xfId="0">
      <alignment vertical="center"/>
    </xf>
    <xf numFmtId="0" fontId="40" fillId="4" borderId="36" applyAlignment="1" pivotButton="0" quotePrefix="0" xfId="0">
      <alignment vertical="center"/>
    </xf>
    <xf numFmtId="9" fontId="1" fillId="3" borderId="0" applyAlignment="1" pivotButton="0" quotePrefix="0" xfId="0">
      <alignment vertical="center"/>
    </xf>
    <xf numFmtId="0" fontId="26" fillId="3" borderId="0" applyAlignment="1" pivotButton="0" quotePrefix="0" xfId="0">
      <alignment vertical="center"/>
    </xf>
    <xf numFmtId="0" fontId="46" fillId="16" borderId="0" applyAlignment="1" pivotButton="0" quotePrefix="0" xfId="0">
      <alignment vertical="center"/>
    </xf>
    <xf numFmtId="0" fontId="46" fillId="3" borderId="37" applyAlignment="1" pivotButton="0" quotePrefix="0" xfId="0">
      <alignment vertical="center"/>
    </xf>
    <xf numFmtId="0" fontId="46" fillId="17" borderId="0" applyAlignment="1" pivotButton="0" quotePrefix="0" xfId="0">
      <alignment vertical="center"/>
    </xf>
    <xf numFmtId="0" fontId="31" fillId="3" borderId="0" applyAlignment="1" pivotButton="0" quotePrefix="0" xfId="0">
      <alignment horizontal="center" vertical="center"/>
    </xf>
    <xf numFmtId="0" fontId="49" fillId="4" borderId="0" applyAlignment="1" pivotButton="0" quotePrefix="0" xfId="0">
      <alignment vertical="center"/>
    </xf>
    <xf numFmtId="0" fontId="49" fillId="3" borderId="0" applyAlignment="1" pivotButton="0" quotePrefix="0" xfId="0">
      <alignment vertical="center"/>
    </xf>
    <xf numFmtId="0" fontId="49" fillId="3" borderId="37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50" fillId="4" borderId="0" applyAlignment="1" pivotButton="0" quotePrefix="0" xfId="0">
      <alignment vertical="center"/>
    </xf>
    <xf numFmtId="0" fontId="51" fillId="4" borderId="0" applyAlignment="1" pivotButton="0" quotePrefix="0" xfId="0">
      <alignment vertical="center"/>
    </xf>
    <xf numFmtId="0" fontId="52" fillId="3" borderId="0" applyAlignment="1" pivotButton="0" quotePrefix="0" xfId="0">
      <alignment vertical="center"/>
    </xf>
    <xf numFmtId="0" fontId="22" fillId="0" borderId="0" applyAlignment="1" pivotButton="0" quotePrefix="0" xfId="0">
      <alignment vertical="bottom"/>
    </xf>
    <xf numFmtId="0" fontId="22" fillId="0" borderId="38" applyAlignment="1" pivotButton="0" quotePrefix="0" xfId="0">
      <alignment vertical="bottom"/>
    </xf>
    <xf numFmtId="0" fontId="22" fillId="0" borderId="39" applyAlignment="1" pivotButton="0" quotePrefix="0" xfId="0">
      <alignment vertical="bottom"/>
    </xf>
    <xf numFmtId="0" fontId="22" fillId="0" borderId="40" applyAlignment="1" pivotButton="0" quotePrefix="0" xfId="0">
      <alignment vertical="bottom"/>
    </xf>
    <xf numFmtId="0" fontId="9" fillId="0" borderId="0" applyAlignment="1" pivotButton="0" quotePrefix="0" xfId="0">
      <alignment vertical="center"/>
    </xf>
    <xf numFmtId="0" fontId="20" fillId="9" borderId="38" applyAlignment="1" pivotButton="0" quotePrefix="0" xfId="0">
      <alignment vertical="bottom"/>
    </xf>
    <xf numFmtId="0" fontId="20" fillId="18" borderId="39" applyAlignment="1" pivotButton="0" quotePrefix="0" xfId="0">
      <alignment vertical="bottom"/>
    </xf>
    <xf numFmtId="0" fontId="22" fillId="0" borderId="41" applyAlignment="1" pivotButton="0" quotePrefix="0" xfId="0">
      <alignment vertical="bottom"/>
    </xf>
    <xf numFmtId="0" fontId="22" fillId="18" borderId="0" applyAlignment="1" pivotButton="0" quotePrefix="0" xfId="0">
      <alignment vertical="bottom"/>
    </xf>
    <xf numFmtId="0" fontId="22" fillId="0" borderId="40" applyAlignment="1" pivotButton="0" quotePrefix="0" xfId="0">
      <alignment vertical="center"/>
    </xf>
    <xf numFmtId="0" fontId="22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vertical="center"/>
    </xf>
    <xf numFmtId="0" fontId="22" fillId="0" borderId="42" applyAlignment="1" pivotButton="0" quotePrefix="0" xfId="0">
      <alignment vertical="bottom"/>
    </xf>
    <xf numFmtId="0" fontId="22" fillId="9" borderId="40" applyAlignment="1" pivotButton="0" quotePrefix="0" xfId="0">
      <alignment vertical="bottom"/>
    </xf>
    <xf numFmtId="0" fontId="22" fillId="19" borderId="0" applyAlignment="1" pivotButton="0" quotePrefix="0" xfId="0">
      <alignment vertical="bottom"/>
    </xf>
    <xf numFmtId="0" fontId="22" fillId="0" borderId="16" applyAlignment="1" pivotButton="0" quotePrefix="0" xfId="0">
      <alignment vertical="bottom"/>
    </xf>
    <xf numFmtId="0" fontId="22" fillId="0" borderId="43" applyAlignment="1" pivotButton="0" quotePrefix="0" xfId="0">
      <alignment vertical="bottom"/>
    </xf>
    <xf numFmtId="0" fontId="22" fillId="20" borderId="0" applyAlignment="1" pivotButton="0" quotePrefix="0" xfId="0">
      <alignment vertical="bottom"/>
    </xf>
    <xf numFmtId="0" fontId="22" fillId="21" borderId="0" applyAlignment="1" pivotButton="0" quotePrefix="0" xfId="0">
      <alignment vertical="bottom"/>
    </xf>
    <xf numFmtId="2" fontId="1" fillId="0" borderId="0" applyAlignment="1" pivotButton="0" quotePrefix="0" xfId="0">
      <alignment vertical="center"/>
    </xf>
    <xf numFmtId="0" fontId="22" fillId="22" borderId="0" applyAlignment="1" pivotButton="0" quotePrefix="0" xfId="0">
      <alignment vertical="bottom"/>
    </xf>
    <xf numFmtId="0" fontId="23" fillId="0" borderId="0" applyAlignment="1" pivotButton="0" quotePrefix="0" xfId="0">
      <alignment vertical="center"/>
    </xf>
    <xf numFmtId="0" fontId="22" fillId="9" borderId="0" applyAlignment="1" pivotButton="0" quotePrefix="0" xfId="0">
      <alignment vertical="bottom"/>
    </xf>
    <xf numFmtId="0" fontId="22" fillId="23" borderId="0" applyAlignment="1" pivotButton="0" quotePrefix="0" xfId="0">
      <alignment vertical="bottom"/>
    </xf>
    <xf numFmtId="0" fontId="22" fillId="0" borderId="44" applyAlignment="1" pivotButton="0" quotePrefix="0" xfId="0">
      <alignment vertical="bottom"/>
    </xf>
    <xf numFmtId="0" fontId="22" fillId="0" borderId="45" applyAlignment="1" pivotButton="0" quotePrefix="0" xfId="0">
      <alignment vertical="bottom"/>
    </xf>
    <xf numFmtId="0" fontId="22" fillId="23" borderId="45" applyAlignment="1" pivotButton="0" quotePrefix="0" xfId="0">
      <alignment vertical="bottom"/>
    </xf>
    <xf numFmtId="0" fontId="22" fillId="0" borderId="46" applyAlignment="1" pivotButton="0" quotePrefix="0" xfId="0">
      <alignment vertical="bottom"/>
    </xf>
    <xf numFmtId="0" fontId="24" fillId="12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9" fillId="24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6" fontId="9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" fillId="0" borderId="48" applyAlignment="1" pivotButton="0" quotePrefix="0" xfId="0">
      <alignment vertical="center"/>
    </xf>
    <xf numFmtId="0" fontId="1" fillId="0" borderId="49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50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9" fillId="9" borderId="0" applyAlignment="1" pivotButton="0" quotePrefix="0" xfId="0">
      <alignment vertical="center"/>
    </xf>
    <xf numFmtId="0" fontId="9" fillId="20" borderId="0" applyAlignment="1" pivotButton="0" quotePrefix="0" xfId="0">
      <alignment vertical="center"/>
    </xf>
    <xf numFmtId="0" fontId="9" fillId="25" borderId="0" applyAlignment="1" pivotButton="0" quotePrefix="0" xfId="0">
      <alignment vertical="center"/>
    </xf>
    <xf numFmtId="1" fontId="1" fillId="26" borderId="0" applyAlignment="1" pivotButton="0" quotePrefix="0" xfId="0">
      <alignment vertical="center"/>
    </xf>
    <xf numFmtId="165" fontId="53" fillId="27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vertical="center"/>
    </xf>
    <xf numFmtId="0" fontId="22" fillId="22" borderId="38" applyAlignment="1" pivotButton="0" quotePrefix="0" xfId="0">
      <alignment vertical="bottom"/>
    </xf>
    <xf numFmtId="0" fontId="22" fillId="22" borderId="40" applyAlignment="1" pivotButton="0" quotePrefix="0" xfId="0">
      <alignment vertical="bottom"/>
    </xf>
    <xf numFmtId="2" fontId="22" fillId="0" borderId="0" applyAlignment="1" pivotButton="0" quotePrefix="0" xfId="0">
      <alignment vertical="bottom"/>
    </xf>
    <xf numFmtId="0" fontId="22" fillId="22" borderId="44" applyAlignment="1" pivotButton="0" quotePrefix="0" xfId="0">
      <alignment vertical="bottom"/>
    </xf>
    <xf numFmtId="0" fontId="22" fillId="9" borderId="44" applyAlignment="1" pivotButton="0" quotePrefix="0" xfId="0">
      <alignment vertical="bottom"/>
    </xf>
    <xf numFmtId="0" fontId="37" fillId="0" borderId="0" applyAlignment="1" pivotButton="0" quotePrefix="0" xfId="0">
      <alignment vertical="bottom"/>
    </xf>
    <xf numFmtId="0" fontId="22" fillId="28" borderId="39" applyAlignment="1" pivotButton="0" quotePrefix="0" xfId="0">
      <alignment vertical="bottom"/>
    </xf>
    <xf numFmtId="0" fontId="22" fillId="29" borderId="40" applyAlignment="1" pivotButton="0" quotePrefix="0" xfId="0">
      <alignment vertical="bottom"/>
    </xf>
    <xf numFmtId="0" fontId="22" fillId="29" borderId="0" applyAlignment="1" pivotButton="0" quotePrefix="0" xfId="0">
      <alignment vertical="bottom"/>
    </xf>
    <xf numFmtId="0" fontId="22" fillId="29" borderId="42" applyAlignment="1" pivotButton="0" quotePrefix="0" xfId="0">
      <alignment vertical="bottom"/>
    </xf>
    <xf numFmtId="0" fontId="9" fillId="30" borderId="51" applyAlignment="1" pivotButton="0" quotePrefix="0" xfId="0">
      <alignment vertical="center"/>
    </xf>
    <xf numFmtId="0" fontId="9" fillId="30" borderId="52" applyAlignment="1" pivotButton="0" quotePrefix="0" xfId="0">
      <alignment vertical="center"/>
    </xf>
    <xf numFmtId="0" fontId="9" fillId="30" borderId="0" applyAlignment="1" pivotButton="0" quotePrefix="0" xfId="0">
      <alignment vertical="center"/>
    </xf>
    <xf numFmtId="0" fontId="9" fillId="31" borderId="0" applyAlignment="1" pivotButton="0" quotePrefix="0" xfId="0">
      <alignment vertical="center"/>
    </xf>
    <xf numFmtId="0" fontId="22" fillId="25" borderId="45" applyAlignment="1" pivotButton="0" quotePrefix="0" xfId="0">
      <alignment vertical="bottom"/>
    </xf>
    <xf numFmtId="0" fontId="19" fillId="28" borderId="0" applyAlignment="1" pivotButton="0" quotePrefix="0" xfId="0">
      <alignment vertical="center"/>
    </xf>
    <xf numFmtId="0" fontId="9" fillId="28" borderId="0" applyAlignment="1" pivotButton="0" quotePrefix="0" xfId="0">
      <alignment vertical="center"/>
    </xf>
    <xf numFmtId="0" fontId="5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vertical="center" wrapText="1"/>
    </xf>
    <xf numFmtId="0" fontId="55" fillId="0" borderId="0" applyAlignment="1" pivotButton="0" quotePrefix="0" xfId="0">
      <alignment vertical="center"/>
    </xf>
    <xf numFmtId="0" fontId="9" fillId="32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22" fillId="28" borderId="40" applyAlignment="1" pivotButton="0" quotePrefix="0" xfId="0">
      <alignment vertical="bottom"/>
    </xf>
    <xf numFmtId="0" fontId="9" fillId="28" borderId="0" applyAlignment="1" pivotButton="0" quotePrefix="0" xfId="0">
      <alignment horizontal="left" vertical="center"/>
    </xf>
    <xf numFmtId="0" fontId="37" fillId="0" borderId="0" applyAlignment="1" pivotButton="0" quotePrefix="0" xfId="0">
      <alignment vertical="center"/>
    </xf>
    <xf numFmtId="0" fontId="37" fillId="9" borderId="44" applyAlignment="1" pivotButton="0" quotePrefix="0" xfId="0">
      <alignment vertical="bottom"/>
    </xf>
    <xf numFmtId="0" fontId="37" fillId="0" borderId="0" applyAlignment="1" pivotButton="0" quotePrefix="0" xfId="0">
      <alignment horizontal="left" vertical="center"/>
    </xf>
    <xf numFmtId="167" fontId="9" fillId="28" borderId="0" applyAlignment="1" pivotButton="0" quotePrefix="0" xfId="0">
      <alignment horizontal="left" vertical="center"/>
    </xf>
    <xf numFmtId="0" fontId="56" fillId="0" borderId="0" applyAlignment="1" pivotButton="0" quotePrefix="0" xfId="0">
      <alignment vertical="center"/>
    </xf>
    <xf numFmtId="0" fontId="9" fillId="33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4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 wrapText="1"/>
    </xf>
    <xf numFmtId="0" fontId="4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" pivotButton="0" quotePrefix="0" xfId="0"/>
    <xf numFmtId="0" fontId="17" fillId="8" borderId="53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常规" xfId="0" builtinId="0"/>
  </cellStyles>
  <dxfs count="76"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>
        <color rgb="FFFFFFFF"/>
      </font>
      <fill>
        <patternFill patternType="solid">
          <fgColor rgb="FFFFFFFF"/>
          <bgColor rgb="FFFFFFFF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  <dxf>
      <font/>
      <fill>
        <patternFill patternType="solid">
          <fgColor rgb="FFA8D08E"/>
          <bgColor rgb="FFA8D08E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FFD865"/>
          <bgColor rgb="FFFFD865"/>
        </patternFill>
      </fill>
      <border>
        <left/>
        <right/>
        <top/>
        <bottom/>
        <diagonal/>
      </border>
    </dxf>
    <dxf>
      <font/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>
        <color rgb="FF000000"/>
      </font>
      <fill>
        <patternFill patternType="solid">
          <fgColor rgb="FF000000"/>
          <bgColor rgb="FF000000"/>
        </patternFill>
      </fill>
      <border>
        <left/>
        <right/>
        <top/>
        <bottom/>
        <diagonal/>
      </border>
    </dxf>
    <dxf>
      <font/>
      <fill>
        <patternFill patternType="solid">
          <fgColor rgb="FFC5E0B3"/>
          <bgColor rgb="FFC5E0B3"/>
        </patternFill>
      </fill>
      <border>
        <left/>
        <right/>
        <top/>
        <bottom/>
        <diagonal/>
      </border>
    </dxf>
    <dxf>
      <font/>
      <fill>
        <patternFill patternType="solid">
          <fgColor rgb="FFFFE598"/>
          <bgColor rgb="FFFFE598"/>
        </patternFill>
      </fill>
      <border>
        <left/>
        <right/>
        <top/>
        <bottom/>
        <diagonal/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"/>
  <sheetViews>
    <sheetView showGridLines="0" tabSelected="1" zoomScale="45" workbookViewId="0">
      <selection activeCell="C69" sqref="C69"/>
    </sheetView>
  </sheetViews>
  <sheetFormatPr baseColWidth="8" defaultColWidth="14" defaultRowHeight="15" customHeight="1"/>
  <cols>
    <col width="8.199218999999999" customWidth="1" style="276" min="1" max="1"/>
    <col width="23.503906" customWidth="1" style="276" min="2" max="2"/>
    <col width="20.707031" customWidth="1" style="276" min="3" max="3"/>
    <col width="24.746094" customWidth="1" style="276" min="4" max="4"/>
    <col hidden="1" width="8.6328125" customWidth="1" style="276" min="5" max="5"/>
    <col hidden="1" width="12.003906" customWidth="1" style="276" min="6" max="6"/>
    <col hidden="1" width="12.453125" customWidth="1" style="276" min="7" max="7"/>
    <col hidden="1" width="10.363281" customWidth="1" style="276" min="8" max="8"/>
    <col hidden="1" width="14.625" customWidth="1" style="276" min="9" max="9"/>
    <col hidden="1" width="11.625" customWidth="1" style="276" min="10" max="10"/>
    <col hidden="1" width="9.253906000000001" customWidth="1" style="276" min="11" max="11"/>
    <col hidden="1" width="8.8125" customWidth="1" style="276" min="12" max="12"/>
    <col hidden="1" width="27.875" customWidth="1" style="276" min="13" max="13"/>
    <col hidden="1" width="16.003906" customWidth="1" style="276" min="14" max="14"/>
    <col hidden="1" width="7.2734375" customWidth="1" style="276" min="15" max="15"/>
    <col hidden="1" width="18.453125" customWidth="1" style="276" min="16" max="16"/>
    <col hidden="1" width="9.2734375" customWidth="1" style="276" min="17" max="17"/>
    <col hidden="1" width="8.003906000000001" customWidth="1" style="276" min="18" max="18"/>
    <col hidden="1" width="11.09375" customWidth="1" style="276" min="19" max="19"/>
    <col hidden="1" width="19.003906" customWidth="1" style="276" min="20" max="20"/>
    <col hidden="1" width="13.2734375" customWidth="1" style="276" min="21" max="21"/>
    <col hidden="1" width="16.003906" customWidth="1" style="276" min="22" max="22"/>
    <col hidden="1" width="19.09375" customWidth="1" style="276" min="23" max="23"/>
    <col hidden="1" width="18.722656" customWidth="1" style="276" min="24" max="24"/>
    <col hidden="1" width="13.363281" customWidth="1" style="276" min="25" max="25"/>
    <col width="10" customWidth="1" style="276" min="26" max="34"/>
    <col width="19" customWidth="1" style="276" min="35" max="35"/>
    <col width="10" customWidth="1" style="276" min="36" max="39"/>
  </cols>
  <sheetData>
    <row r="1" hidden="1" ht="15" customHeight="1" s="276">
      <c r="A1" s="1">
        <f>IF(OR(C2&gt;3.5,D2&gt;3.5,D1&gt;3.5),"wow",IF(AND(C2&gt;2,D2&gt;2,D1&gt;2),"yes",IF(C2=MAX(C2,D2,D1),1,IF(D2=MAX(C2,D2,D1),2,IF(D1=MAX(C2,D2,D1),3,"")))))</f>
        <v/>
      </c>
      <c r="B1" s="1">
        <f>IF(OR(E2&gt;3.5,F2&gt;3.5,F1&gt;3.5),"wow",IF(AND(E2&gt;2,F2&gt;2,F1&gt;2),"yes",IF(E2=MAX(E2,F2,F1),1,IF(F2=MAX(E2,F2,F1),2,IF(F1=MAX(E2,F2,F1),3,"")))))</f>
        <v/>
      </c>
      <c r="C1" s="2">
        <f>$E46-D1</f>
        <v/>
      </c>
      <c r="D1" s="1">
        <f>AVERAGE(C2,D2)</f>
        <v/>
      </c>
      <c r="E1" s="2">
        <f>$E46-F1</f>
        <v/>
      </c>
      <c r="F1" s="1">
        <f>AVERAGE(E2,F2)</f>
        <v/>
      </c>
      <c r="G1" s="2">
        <f>$E46-H1</f>
        <v/>
      </c>
      <c r="H1" s="1">
        <f>AVERAGE(G2,H2)</f>
        <v/>
      </c>
      <c r="I1" s="2">
        <f>$E46-J1</f>
        <v/>
      </c>
      <c r="J1" s="1">
        <f>AVERAGE(I2,J2)</f>
        <v/>
      </c>
      <c r="K1" s="2">
        <f>$E46-L1</f>
        <v/>
      </c>
      <c r="L1" s="1">
        <f>AVERAGE(K2,L2)</f>
        <v/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 hidden="1" ht="15" customHeight="1" s="276">
      <c r="A2" s="3">
        <f>IF(OR(G2&gt;3.5,H2&gt;3.5,H1&gt;3.5),"wow",IF(AND(G2&gt;2,H2&gt;2,H1&gt;2),"yes",IF(G2=MAX(G2,H2,H1),1,IF(H2=MAX(G2,H2,H1),2,IF(H1=MAX(G2,H2,H1),3,"")))))</f>
        <v/>
      </c>
      <c r="B2" s="3">
        <f>IF(OR(I2&gt;3.5,J2&gt;3.5,J1&gt;3.5),"wow",IF(AND(I2&gt;2,J2&gt;2,J1&gt;2),"yes",IF(I2=MAX(I2,J2,J1),1,IF(J2=MAX(I2,J2,J1),2,IF(J1=MAX(I2,J2,J1),3,"")))))</f>
        <v/>
      </c>
      <c r="C2" s="3">
        <f>VLOOKUP(F48,$C6:$V42,14)+VLOOKUP(F48,C6:V42,16)*1.35</f>
        <v/>
      </c>
      <c r="D2" s="3">
        <f>VLOOKUP(G48,$C6:$V42,16)+VLOOKUP(G48,$C6:$V42,14)*1.35</f>
        <v/>
      </c>
      <c r="E2" s="3">
        <f>VLOOKUP(J48,$C6:$V42,14)+VLOOKUP(J48,$C6:$V42,16)*1.35</f>
        <v/>
      </c>
      <c r="F2" s="3">
        <f>VLOOKUP(K48,$C6:$V42,16)+VLOOKUP(K48,$C6:$V42,14)*1.35</f>
        <v/>
      </c>
      <c r="G2" s="3">
        <f>VLOOKUP(N48,$C6:$V42,14)+VLOOKUP(N48,$C6:$V42,16)*1.35</f>
        <v/>
      </c>
      <c r="H2" s="3">
        <f>VLOOKUP(O48,$C6:$V42,16)+VLOOKUP(O48,$C6:$V42,14)*1.35</f>
        <v/>
      </c>
      <c r="I2" s="3">
        <f>VLOOKUP(R48,$C6:$V42,14)+VLOOKUP(R48,$C6:$V42,16)*1.35</f>
        <v/>
      </c>
      <c r="J2" s="3">
        <f>VLOOKUP(S48,$C6:$V42,16)+VLOOKUP(S48,$C6:$V42,14)*1.35</f>
        <v/>
      </c>
      <c r="K2" s="3">
        <f>VLOOKUP(V48,$C6:$V42,14)+VLOOKUP(V48,$C6:$V42,16)*1.35</f>
        <v/>
      </c>
      <c r="L2" s="3">
        <f>VLOOKUP(W48,$C6:$V42,16)+VLOOKUP(W48,$C6:$V42,14)*1.35</f>
        <v/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</row>
    <row r="3" ht="14.1" customHeight="1" s="276">
      <c r="A3" s="4">
        <f>IF(OR(K2&gt;3.5,L2&gt;3.5,L1&gt;3.5),"wow",IF(AND(K2&gt;2,L2&gt;2,L1&gt;2),"yes",IF(K2=MAX(K2,L2,L1),1,IF(L2=MAX(K2,L2,L1),2,IF(L1=MAX(K2,L2,L1),3,"")))))</f>
        <v/>
      </c>
      <c r="B3" s="4">
        <f>IF(OR(A64="",Sheet2!AA15="no"),"",Sheet2!N2)</f>
        <v/>
      </c>
      <c r="C3" s="5" t="inlineStr">
        <is>
          <t>Goals per match</t>
        </is>
      </c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</row>
    <row r="4" ht="15.75" customHeight="1" s="276">
      <c r="A4" s="8">
        <f>_xlfn.TEXTJOIN(" /", ,IF(AND(A113="yes",E74=""),"+2",IF(AND(A113="yes",OR(E74="u2.5",E74="u3.5",E74="u4.5",E74="u5.5",E74="u6.5")),"+1",IF(AND(A113="yes",E74&lt;&gt;""),E74,"no"))),_xlfn.IFERROR(E74,""),A79,IF(Sheet2!M71="under",Sheet2!M77,Sheet2!M71))</f>
        <v/>
      </c>
      <c r="B4" s="9">
        <f>_xlfn.TEXTJOIN(" /", ,H104,_xlfn.IFERROR(E114,""),B115)</f>
        <v/>
      </c>
      <c r="C4" s="10" t="n"/>
      <c r="D4" s="11" t="inlineStr">
        <is>
          <t>GP</t>
        </is>
      </c>
      <c r="E4" s="12" t="inlineStr">
        <is>
          <t>Average goals overall</t>
        </is>
      </c>
      <c r="F4" s="277" t="n"/>
      <c r="G4" s="277" t="n"/>
      <c r="H4" s="14" t="inlineStr">
        <is>
          <t xml:space="preserve">  </t>
        </is>
      </c>
      <c r="I4" s="12" t="inlineStr">
        <is>
          <t>Average goals at home</t>
        </is>
      </c>
      <c r="J4" s="277" t="n"/>
      <c r="K4" s="277" t="n"/>
      <c r="L4" s="14" t="inlineStr">
        <is>
          <t xml:space="preserve">  </t>
        </is>
      </c>
      <c r="M4" s="12" t="inlineStr">
        <is>
          <t>Average goals away</t>
        </is>
      </c>
      <c r="N4" s="277" t="n"/>
      <c r="O4" s="277" t="n"/>
      <c r="P4" s="15" t="inlineStr">
        <is>
          <t xml:space="preserve">home </t>
        </is>
      </c>
      <c r="Q4" s="15" t="inlineStr">
        <is>
          <t xml:space="preserve">home </t>
        </is>
      </c>
      <c r="R4" s="15" t="inlineStr">
        <is>
          <t xml:space="preserve">away </t>
        </is>
      </c>
      <c r="S4" s="15" t="inlineStr">
        <is>
          <t>away</t>
        </is>
      </c>
      <c r="T4" s="15" t="inlineStr">
        <is>
          <t xml:space="preserve">Home advantage </t>
        </is>
      </c>
      <c r="U4" s="15" t="n"/>
      <c r="V4" s="3" t="n"/>
      <c r="W4" s="3" t="n"/>
      <c r="X4" s="3" t="n"/>
      <c r="Y4" s="3" t="n"/>
      <c r="Z4" s="3" t="n"/>
      <c r="AA4" s="63" t="n"/>
      <c r="AB4" s="63" t="inlineStr">
        <is>
          <t xml:space="preserve">Points per game  </t>
        </is>
      </c>
      <c r="AC4" s="63" t="inlineStr">
        <is>
          <t xml:space="preserve"> </t>
        </is>
      </c>
      <c r="AD4" s="63" t="n">
        <v>2.25</v>
      </c>
      <c r="AE4" s="63" t="n"/>
      <c r="AF4" s="17" t="n">
        <v>1.6</v>
      </c>
      <c r="AG4" s="63" t="n"/>
      <c r="AH4" s="63" t="n"/>
      <c r="AI4" s="63" t="inlineStr">
        <is>
          <t xml:space="preserve">Points per game  </t>
        </is>
      </c>
      <c r="AJ4" s="63" t="inlineStr">
        <is>
          <t xml:space="preserve"> </t>
        </is>
      </c>
      <c r="AK4" s="17" t="n">
        <v>2.2</v>
      </c>
      <c r="AL4" s="63" t="n"/>
      <c r="AM4" s="63" t="n">
        <v>1.03</v>
      </c>
      <c r="AN4" s="18" t="n"/>
      <c r="AO4" s="18" t="n"/>
    </row>
    <row r="5" ht="19.5" customHeight="1" s="276">
      <c r="A5" s="4">
        <f>_xlfn.TEXTJOIN("/ ", ,Sheet2!Y25,Sheet2!BW25)</f>
        <v/>
      </c>
      <c r="B5" s="19">
        <f>IF(A74&lt;51,"",IF(B70="","",IF(AND(T89="yes",U89="Yes"),"",_xlfn.TEXTJOIN("+ ", ,Sheet2!S3,M106,N106))))</f>
        <v/>
      </c>
      <c r="E5" s="21" t="inlineStr">
        <is>
          <t>Scored</t>
        </is>
      </c>
      <c r="F5" s="21" t="inlineStr">
        <is>
          <t>Conc.</t>
        </is>
      </c>
      <c r="G5" s="21" t="inlineStr">
        <is>
          <t>Total</t>
        </is>
      </c>
      <c r="H5" s="21" t="inlineStr">
        <is>
          <t xml:space="preserve">  </t>
        </is>
      </c>
      <c r="I5" s="21" t="inlineStr">
        <is>
          <t>Scored</t>
        </is>
      </c>
      <c r="J5" s="21" t="inlineStr">
        <is>
          <t>Conc.</t>
        </is>
      </c>
      <c r="K5" s="21" t="inlineStr">
        <is>
          <t>Total</t>
        </is>
      </c>
      <c r="L5" s="21" t="inlineStr">
        <is>
          <t xml:space="preserve">  </t>
        </is>
      </c>
      <c r="M5" s="22" t="inlineStr">
        <is>
          <t>Scored</t>
        </is>
      </c>
      <c r="N5" s="22" t="inlineStr">
        <is>
          <t>Conc.</t>
        </is>
      </c>
      <c r="O5" s="22" t="inlineStr">
        <is>
          <t>Total</t>
        </is>
      </c>
      <c r="P5" s="22" t="inlineStr">
        <is>
          <t>att</t>
        </is>
      </c>
      <c r="Q5" s="22" t="inlineStr">
        <is>
          <t>defend</t>
        </is>
      </c>
      <c r="R5" s="22" t="inlineStr">
        <is>
          <t>att</t>
        </is>
      </c>
      <c r="S5" s="22" t="inlineStr">
        <is>
          <t>defend</t>
        </is>
      </c>
      <c r="T5" s="23" t="inlineStr">
        <is>
          <t>HA</t>
        </is>
      </c>
      <c r="U5" s="23">
        <f>COUNT(C6:S6)</f>
        <v/>
      </c>
      <c r="V5" s="7" t="n"/>
      <c r="W5" s="7" t="n"/>
      <c r="X5" s="7" t="n"/>
      <c r="Y5" s="7" t="n"/>
      <c r="Z5" s="7" t="n"/>
      <c r="AA5" s="4" t="n"/>
      <c r="AB5" s="4" t="inlineStr">
        <is>
          <t xml:space="preserve">% Wins  </t>
        </is>
      </c>
      <c r="AC5" s="4" t="inlineStr">
        <is>
          <t xml:space="preserve"> </t>
        </is>
      </c>
      <c r="AD5" s="24" t="n">
        <v>0.75</v>
      </c>
      <c r="AE5" s="4" t="n"/>
      <c r="AF5" s="24" t="n">
        <v>0.47</v>
      </c>
      <c r="AG5" s="4" t="n"/>
      <c r="AH5" s="4" t="n"/>
      <c r="AI5" s="4" t="inlineStr">
        <is>
          <t xml:space="preserve">% Wins  </t>
        </is>
      </c>
      <c r="AJ5" s="4" t="inlineStr">
        <is>
          <t xml:space="preserve"> </t>
        </is>
      </c>
      <c r="AK5" s="24" t="n">
        <v>0.6</v>
      </c>
      <c r="AL5" s="4" t="n"/>
      <c r="AM5" s="24" t="n">
        <v>0.28</v>
      </c>
      <c r="AN5" s="18" t="n"/>
      <c r="AO5" s="18" t="n"/>
    </row>
    <row r="6" ht="39.75" customHeight="1" s="276">
      <c r="A6" s="25">
        <f>IF(Sheet2!F40="coup","just Add 1 goal","clean")</f>
        <v/>
      </c>
      <c r="B6" s="63">
        <f>_xlfn.TEXTJOIN(" ,", , ,Sheet2!V25,D46)</f>
        <v/>
      </c>
      <c r="C6" s="26" t="inlineStr">
        <is>
          <t xml:space="preserve">America MG </t>
        </is>
      </c>
      <c r="D6" s="27" t="n">
        <v>13</v>
      </c>
      <c r="E6" s="28" t="n">
        <v>0.77</v>
      </c>
      <c r="F6" s="28" t="n">
        <v>1.85</v>
      </c>
      <c r="G6" s="28" t="n">
        <v>2.62</v>
      </c>
      <c r="H6" s="29" t="inlineStr">
        <is>
          <t xml:space="preserve">  </t>
        </is>
      </c>
      <c r="I6" s="28" t="n">
        <v>0.67</v>
      </c>
      <c r="J6" s="28" t="n">
        <v>1.83</v>
      </c>
      <c r="K6" s="28" t="n">
        <v>2.5</v>
      </c>
      <c r="L6" s="29" t="inlineStr">
        <is>
          <t xml:space="preserve">  </t>
        </is>
      </c>
      <c r="M6" s="28" t="n">
        <v>0.86</v>
      </c>
      <c r="N6" s="28" t="n">
        <v>1.86</v>
      </c>
      <c r="O6" s="30" t="n">
        <v>2.71</v>
      </c>
      <c r="P6" s="15">
        <f>I6/$I$44</f>
        <v/>
      </c>
      <c r="Q6" s="15">
        <f>J6/$J$44</f>
        <v/>
      </c>
      <c r="R6" s="15">
        <f>M6/$M$44</f>
        <v/>
      </c>
      <c r="S6" s="15">
        <f>N6/$N$44</f>
        <v/>
      </c>
      <c r="T6" s="15">
        <f>IF((I6-M6)/D6&lt;0,0*(I6-M6)/D6,(I6-M6)/D6)</f>
        <v/>
      </c>
      <c r="U6" s="15" t="n"/>
      <c r="V6" s="31">
        <f>IF(K6&gt;0,AVERAGE(K6,O6)," ")</f>
        <v/>
      </c>
      <c r="W6" s="3" t="n"/>
      <c r="X6" s="3" t="n"/>
      <c r="Y6" s="3" t="n"/>
      <c r="Z6" s="3" t="n"/>
      <c r="AA6" s="63" t="n"/>
      <c r="AB6" s="63" t="inlineStr">
        <is>
          <t xml:space="preserve">% Draws  </t>
        </is>
      </c>
      <c r="AC6" s="63" t="n"/>
      <c r="AD6" s="32" t="n">
        <v>0</v>
      </c>
      <c r="AE6" s="63" t="inlineStr">
        <is>
          <t xml:space="preserve"> </t>
        </is>
      </c>
      <c r="AF6" s="32" t="n">
        <v>0.18</v>
      </c>
      <c r="AG6" s="63" t="n"/>
      <c r="AH6" s="63" t="n"/>
      <c r="AI6" s="63" t="inlineStr">
        <is>
          <t xml:space="preserve">% Draws  </t>
        </is>
      </c>
      <c r="AJ6" s="63" t="inlineStr">
        <is>
          <t xml:space="preserve"> </t>
        </is>
      </c>
      <c r="AK6" s="32" t="n">
        <v>0.4</v>
      </c>
      <c r="AL6" s="63" t="n"/>
      <c r="AM6" s="32" t="n">
        <v>0.2</v>
      </c>
      <c r="AN6" s="18" t="n"/>
      <c r="AO6" s="18" t="n"/>
    </row>
    <row r="7" hidden="1" ht="60.75" customHeight="1" s="276">
      <c r="A7" s="4" t="n"/>
      <c r="B7" s="4" t="n"/>
      <c r="C7" s="33" t="inlineStr">
        <is>
          <t xml:space="preserve"> Athletic Club </t>
        </is>
      </c>
      <c r="D7" s="34" t="n">
        <v>14</v>
      </c>
      <c r="E7" s="35" t="n">
        <v>1.07</v>
      </c>
      <c r="F7" s="35" t="n">
        <v>1.07</v>
      </c>
      <c r="G7" s="35" t="n">
        <v>2.14</v>
      </c>
      <c r="H7" s="36" t="inlineStr">
        <is>
          <t xml:space="preserve">  </t>
        </is>
      </c>
      <c r="I7" s="35" t="n">
        <v>0.86</v>
      </c>
      <c r="J7" s="35" t="n">
        <v>0.71</v>
      </c>
      <c r="K7" s="35" t="n">
        <v>1.57</v>
      </c>
      <c r="L7" s="36" t="inlineStr">
        <is>
          <t xml:space="preserve">  </t>
        </is>
      </c>
      <c r="M7" s="35" t="n">
        <v>1.29</v>
      </c>
      <c r="N7" s="35" t="n">
        <v>1.43</v>
      </c>
      <c r="O7" s="37" t="n">
        <v>2.71</v>
      </c>
      <c r="P7" s="23">
        <f>I7/$I$44</f>
        <v/>
      </c>
      <c r="Q7" s="23">
        <f>J7/$J$44</f>
        <v/>
      </c>
      <c r="R7" s="23">
        <f>M7/$M$44</f>
        <v/>
      </c>
      <c r="S7" s="23">
        <f>N7/$N$44</f>
        <v/>
      </c>
      <c r="T7" s="23">
        <f>IF((I7-M7)/D7&lt;0,0*(I7-M7)/D7,(I7-M7)/D7)</f>
        <v/>
      </c>
      <c r="U7" s="23" t="n"/>
      <c r="V7" s="38">
        <f>IF(K7&gt;0,AVERAGE(K7,O7)," ")</f>
        <v/>
      </c>
      <c r="W7" s="7" t="n"/>
      <c r="X7" s="7" t="n"/>
      <c r="Y7" s="7" t="n"/>
      <c r="Z7" s="7" t="n"/>
      <c r="AA7" s="4" t="n"/>
      <c r="AB7" s="4" t="inlineStr">
        <is>
          <t xml:space="preserve">% Defeats  </t>
        </is>
      </c>
      <c r="AC7" s="4" t="n"/>
      <c r="AD7" s="24" t="n">
        <v>0.25</v>
      </c>
      <c r="AE7" s="4" t="inlineStr">
        <is>
          <t xml:space="preserve"> </t>
        </is>
      </c>
      <c r="AF7" s="24" t="n">
        <v>0.35</v>
      </c>
      <c r="AG7" s="4" t="n"/>
      <c r="AH7" s="4" t="n"/>
      <c r="AI7" s="4" t="inlineStr">
        <is>
          <t xml:space="preserve">% Defeats  </t>
        </is>
      </c>
      <c r="AJ7" s="4" t="n"/>
      <c r="AK7" s="24" t="n">
        <v>0</v>
      </c>
      <c r="AL7" s="4" t="inlineStr">
        <is>
          <t xml:space="preserve"> </t>
        </is>
      </c>
      <c r="AM7" s="24" t="n">
        <v>0.52</v>
      </c>
      <c r="AN7" s="18" t="n"/>
      <c r="AO7" s="18" t="n"/>
    </row>
    <row r="8" hidden="1" ht="54" customHeight="1" s="276">
      <c r="A8" s="63" t="n"/>
      <c r="B8" s="63" t="n"/>
      <c r="C8" s="33" t="inlineStr">
        <is>
          <t xml:space="preserve"> Atletico GO </t>
        </is>
      </c>
      <c r="D8" s="34" t="n">
        <v>14</v>
      </c>
      <c r="E8" s="35" t="n">
        <v>1.14</v>
      </c>
      <c r="F8" s="35" t="n">
        <v>1.14</v>
      </c>
      <c r="G8" s="35" t="n">
        <v>2.29</v>
      </c>
      <c r="H8" s="36" t="inlineStr">
        <is>
          <t xml:space="preserve">  </t>
        </is>
      </c>
      <c r="I8" s="35" t="n">
        <v>1.29</v>
      </c>
      <c r="J8" s="35" t="n">
        <v>1.29</v>
      </c>
      <c r="K8" s="35" t="n">
        <v>2.57</v>
      </c>
      <c r="L8" s="36" t="inlineStr">
        <is>
          <t xml:space="preserve">  </t>
        </is>
      </c>
      <c r="M8" s="35" t="n">
        <v>1</v>
      </c>
      <c r="N8" s="35" t="n">
        <v>1</v>
      </c>
      <c r="O8" s="37" t="n">
        <v>2</v>
      </c>
      <c r="P8" s="15">
        <f>I8/$I$44</f>
        <v/>
      </c>
      <c r="Q8" s="15">
        <f>J8/$J$44</f>
        <v/>
      </c>
      <c r="R8" s="15">
        <f>M8/$M$44</f>
        <v/>
      </c>
      <c r="S8" s="15">
        <f>N8/$N$44</f>
        <v/>
      </c>
      <c r="T8" s="15">
        <f>IF((I8-M8)/D8&lt;0,0*(I8-M8)/D8,(I8-M8)/D8)</f>
        <v/>
      </c>
      <c r="U8" s="15" t="n"/>
      <c r="V8" s="31">
        <f>IF(K8&gt;0,AVERAGE(K8,O8)," ")</f>
        <v/>
      </c>
      <c r="W8" s="3" t="n"/>
      <c r="X8" s="3" t="n"/>
      <c r="Y8" s="3" t="n"/>
      <c r="Z8" s="3" t="n"/>
      <c r="AA8" s="63" t="n"/>
      <c r="AB8" s="63" t="inlineStr">
        <is>
          <t xml:space="preserve">Goals scored per game  </t>
        </is>
      </c>
      <c r="AC8" s="63" t="n"/>
      <c r="AD8" s="63" t="n">
        <v>1.75</v>
      </c>
      <c r="AE8" s="63" t="inlineStr">
        <is>
          <t xml:space="preserve"> </t>
        </is>
      </c>
      <c r="AF8" s="63" t="n">
        <v>1.97</v>
      </c>
      <c r="AG8" s="63" t="n"/>
      <c r="AH8" s="63" t="n"/>
      <c r="AI8" s="63" t="inlineStr">
        <is>
          <t xml:space="preserve">Goals scored per game  </t>
        </is>
      </c>
      <c r="AJ8" s="63" t="inlineStr">
        <is>
          <t xml:space="preserve"> </t>
        </is>
      </c>
      <c r="AK8" s="17" t="n">
        <v>1.8</v>
      </c>
      <c r="AL8" s="63" t="n"/>
      <c r="AM8" s="17" t="n">
        <v>1.2</v>
      </c>
      <c r="AN8" s="18" t="n"/>
      <c r="AO8" s="18" t="n"/>
    </row>
    <row r="9" hidden="1" ht="45" customHeight="1" s="276">
      <c r="A9" s="4" t="n"/>
      <c r="B9" s="4" t="n"/>
      <c r="C9" s="33" t="inlineStr">
        <is>
          <t xml:space="preserve"> Avai </t>
        </is>
      </c>
      <c r="D9" s="34" t="n">
        <v>14</v>
      </c>
      <c r="E9" s="35" t="n">
        <v>1.07</v>
      </c>
      <c r="F9" s="35" t="n">
        <v>1.43</v>
      </c>
      <c r="G9" s="35" t="n">
        <v>2.5</v>
      </c>
      <c r="H9" s="36" t="inlineStr">
        <is>
          <t xml:space="preserve">  </t>
        </is>
      </c>
      <c r="I9" s="35" t="n">
        <v>1</v>
      </c>
      <c r="J9" s="35" t="n">
        <v>1.13</v>
      </c>
      <c r="K9" s="35" t="n">
        <v>2.13</v>
      </c>
      <c r="L9" s="36" t="inlineStr">
        <is>
          <t xml:space="preserve">  </t>
        </is>
      </c>
      <c r="M9" s="35" t="n">
        <v>1.17</v>
      </c>
      <c r="N9" s="35" t="n">
        <v>1.83</v>
      </c>
      <c r="O9" s="37" t="n">
        <v>3</v>
      </c>
      <c r="P9" s="23">
        <f>I9/$I$44</f>
        <v/>
      </c>
      <c r="Q9" s="23">
        <f>J9/$J$44</f>
        <v/>
      </c>
      <c r="R9" s="23">
        <f>M9/$M$44</f>
        <v/>
      </c>
      <c r="S9" s="23">
        <f>N9/$N$44</f>
        <v/>
      </c>
      <c r="T9" s="23">
        <f>IF((I9-M9)/D9&lt;0,0*(I9-M9)/D9,(I9-M9)/D9)</f>
        <v/>
      </c>
      <c r="U9" s="23" t="n"/>
      <c r="V9" s="38">
        <f>IF(K9&gt;0,AVERAGE(K9,O9)," ")</f>
        <v/>
      </c>
      <c r="W9" s="7" t="n"/>
      <c r="X9" s="7" t="n"/>
      <c r="Y9" s="7" t="n"/>
      <c r="Z9" s="7" t="n"/>
      <c r="AA9" s="4" t="n"/>
      <c r="AB9" s="4" t="inlineStr">
        <is>
          <t xml:space="preserve">Goals conceded per game  </t>
        </is>
      </c>
      <c r="AC9" s="4" t="n"/>
      <c r="AD9" s="4" t="n">
        <v>1.25</v>
      </c>
      <c r="AE9" s="4" t="inlineStr">
        <is>
          <t xml:space="preserve"> </t>
        </is>
      </c>
      <c r="AF9" s="4" t="n">
        <v>1.57</v>
      </c>
      <c r="AG9" s="4" t="n"/>
      <c r="AH9" s="4" t="n"/>
      <c r="AI9" s="4" t="inlineStr">
        <is>
          <t xml:space="preserve">Goals conceded per game  </t>
        </is>
      </c>
      <c r="AJ9" s="4" t="n"/>
      <c r="AK9" s="39" t="n">
        <v>0.4</v>
      </c>
      <c r="AL9" s="4" t="inlineStr">
        <is>
          <t xml:space="preserve"> </t>
        </is>
      </c>
      <c r="AM9" s="4" t="n">
        <v>1.57</v>
      </c>
      <c r="AN9" s="18" t="n"/>
      <c r="AO9" s="18" t="n"/>
    </row>
    <row r="10" hidden="1" ht="48.45" customHeight="1" s="276">
      <c r="A10" s="63">
        <f>IF(B10&gt;AVERAGE(D6:D42),"no","yes")</f>
        <v/>
      </c>
      <c r="B10" s="63">
        <f>ROUND(((COUNTA(C6:C42)-1)*((COUNTA(C6:C42)-1)*2))/38,0)</f>
        <v/>
      </c>
      <c r="C10" s="33" t="inlineStr">
        <is>
          <t xml:space="preserve"> Botafogo SP </t>
        </is>
      </c>
      <c r="D10" s="34" t="n">
        <v>14</v>
      </c>
      <c r="E10" s="35" t="n">
        <v>1</v>
      </c>
      <c r="F10" s="35" t="n">
        <v>0.93</v>
      </c>
      <c r="G10" s="35" t="n">
        <v>1.93</v>
      </c>
      <c r="H10" s="36" t="inlineStr">
        <is>
          <t xml:space="preserve">  </t>
        </is>
      </c>
      <c r="I10" s="35" t="n">
        <v>1.67</v>
      </c>
      <c r="J10" s="35" t="n">
        <v>1.17</v>
      </c>
      <c r="K10" s="35" t="n">
        <v>2.83</v>
      </c>
      <c r="L10" s="36" t="inlineStr">
        <is>
          <t xml:space="preserve">  </t>
        </is>
      </c>
      <c r="M10" s="35" t="n">
        <v>0.5</v>
      </c>
      <c r="N10" s="35" t="n">
        <v>0.75</v>
      </c>
      <c r="O10" s="37" t="n">
        <v>1.25</v>
      </c>
      <c r="P10" s="15">
        <f>I10/$I$44</f>
        <v/>
      </c>
      <c r="Q10" s="15">
        <f>J10/$J$44</f>
        <v/>
      </c>
      <c r="R10" s="15">
        <f>M10/$M$44</f>
        <v/>
      </c>
      <c r="S10" s="15">
        <f>N10/$N$44</f>
        <v/>
      </c>
      <c r="T10" s="15">
        <f>IF((I10-M10)/D10&lt;0,0*(I10-M10)/D10,(I10-M10)/D10)</f>
        <v/>
      </c>
      <c r="U10" s="15" t="n"/>
      <c r="V10" s="31">
        <f>IF(K10&gt;0,AVERAGE(K10,O10)," ")</f>
        <v/>
      </c>
      <c r="W10" s="3" t="n"/>
      <c r="X10" s="3" t="n"/>
      <c r="Y10" s="3" t="n"/>
      <c r="Z10" s="3" t="n"/>
      <c r="AA10" s="63" t="n"/>
      <c r="AB10" s="63" t="inlineStr">
        <is>
          <t xml:space="preserve">% Clean sheets  </t>
        </is>
      </c>
      <c r="AC10" s="63" t="inlineStr">
        <is>
          <t xml:space="preserve"> </t>
        </is>
      </c>
      <c r="AD10" s="32" t="n">
        <v>0.5</v>
      </c>
      <c r="AE10" s="63" t="n"/>
      <c r="AF10" s="32" t="n">
        <v>0.26</v>
      </c>
      <c r="AG10" s="63" t="n"/>
      <c r="AH10" s="63" t="n"/>
      <c r="AI10" s="63" t="inlineStr">
        <is>
          <t xml:space="preserve">% Clean sheets  </t>
        </is>
      </c>
      <c r="AJ10" s="63" t="inlineStr">
        <is>
          <t xml:space="preserve"> </t>
        </is>
      </c>
      <c r="AK10" s="32" t="n">
        <v>0.6</v>
      </c>
      <c r="AL10" s="63" t="n"/>
      <c r="AM10" s="32" t="n">
        <v>0.24</v>
      </c>
      <c r="AN10" s="18" t="n"/>
      <c r="AO10" s="18" t="n"/>
    </row>
    <row r="11" hidden="1" ht="40.9" customHeight="1" s="276">
      <c r="A11" s="4" t="n"/>
      <c r="B11" s="4" t="n"/>
      <c r="C11" s="33" t="inlineStr">
        <is>
          <t xml:space="preserve"> Ceara </t>
        </is>
      </c>
      <c r="D11" s="34" t="n">
        <v>14</v>
      </c>
      <c r="E11" s="35" t="n">
        <v>1.07</v>
      </c>
      <c r="F11" s="35" t="n">
        <v>1.14</v>
      </c>
      <c r="G11" s="35" t="n">
        <v>2.21</v>
      </c>
      <c r="H11" s="36" t="inlineStr">
        <is>
          <t xml:space="preserve">  </t>
        </is>
      </c>
      <c r="I11" s="35" t="n">
        <v>1.25</v>
      </c>
      <c r="J11" s="35" t="n">
        <v>1.25</v>
      </c>
      <c r="K11" s="35" t="n">
        <v>2.5</v>
      </c>
      <c r="L11" s="36" t="inlineStr">
        <is>
          <t xml:space="preserve">  </t>
        </is>
      </c>
      <c r="M11" s="35" t="n">
        <v>0.83</v>
      </c>
      <c r="N11" s="35" t="n">
        <v>1</v>
      </c>
      <c r="O11" s="37" t="n">
        <v>1.83</v>
      </c>
      <c r="P11" s="23">
        <f>I11/$I$44</f>
        <v/>
      </c>
      <c r="Q11" s="23">
        <f>J11/$J$44</f>
        <v/>
      </c>
      <c r="R11" s="23">
        <f>M11/$M$44</f>
        <v/>
      </c>
      <c r="S11" s="23">
        <f>N11/$N$44</f>
        <v/>
      </c>
      <c r="T11" s="23">
        <f>IF((I11-M11)/D11&lt;0,0*(I11-M11)/D11,(I11-M11)/D11)</f>
        <v/>
      </c>
      <c r="U11" s="23" t="n"/>
      <c r="V11" s="38">
        <f>IF(K11&gt;0,AVERAGE(K11,O11)," ")</f>
        <v/>
      </c>
      <c r="W11" s="7" t="n"/>
      <c r="X11" s="7" t="n"/>
      <c r="Y11" s="7" t="n"/>
      <c r="Z11" s="7" t="n"/>
      <c r="AA11" s="4" t="n"/>
      <c r="AB11" s="4" t="inlineStr">
        <is>
          <t xml:space="preserve">% Failed To Score  </t>
        </is>
      </c>
      <c r="AC11" s="4" t="n"/>
      <c r="AD11" s="24" t="n">
        <v>0</v>
      </c>
      <c r="AE11" s="4" t="inlineStr">
        <is>
          <t xml:space="preserve"> </t>
        </is>
      </c>
      <c r="AF11" s="24" t="n">
        <v>0.14</v>
      </c>
      <c r="AG11" s="4" t="n"/>
      <c r="AH11" s="4" t="n"/>
      <c r="AI11" s="4" t="inlineStr">
        <is>
          <t xml:space="preserve">% Failed To Score  </t>
        </is>
      </c>
      <c r="AJ11" s="4" t="n"/>
      <c r="AK11" s="24" t="n">
        <v>0</v>
      </c>
      <c r="AL11" s="4" t="inlineStr">
        <is>
          <t xml:space="preserve"> </t>
        </is>
      </c>
      <c r="AM11" s="24" t="n">
        <v>0.34</v>
      </c>
      <c r="AN11" s="18" t="n"/>
      <c r="AO11" s="18" t="n"/>
    </row>
    <row r="12" hidden="1" ht="50.05" customHeight="1" s="276">
      <c r="A12" s="63" t="n"/>
      <c r="B12" s="63" t="n"/>
      <c r="C12" s="33" t="inlineStr">
        <is>
          <t xml:space="preserve"> CRB </t>
        </is>
      </c>
      <c r="D12" s="34" t="n">
        <v>14</v>
      </c>
      <c r="E12" s="35" t="n">
        <v>1.64</v>
      </c>
      <c r="F12" s="35" t="n">
        <v>1.71</v>
      </c>
      <c r="G12" s="35" t="n">
        <v>3.36</v>
      </c>
      <c r="H12" s="36" t="inlineStr">
        <is>
          <t xml:space="preserve">  </t>
        </is>
      </c>
      <c r="I12" s="35" t="n">
        <v>1.71</v>
      </c>
      <c r="J12" s="35" t="n">
        <v>1.57</v>
      </c>
      <c r="K12" s="35" t="n">
        <v>3.29</v>
      </c>
      <c r="L12" s="36" t="inlineStr">
        <is>
          <t xml:space="preserve">  </t>
        </is>
      </c>
      <c r="M12" s="35" t="n">
        <v>1.57</v>
      </c>
      <c r="N12" s="35" t="n">
        <v>1.86</v>
      </c>
      <c r="O12" s="37" t="n">
        <v>3.43</v>
      </c>
      <c r="P12" s="15">
        <f>I12/$I$44</f>
        <v/>
      </c>
      <c r="Q12" s="15">
        <f>J12/$J$44</f>
        <v/>
      </c>
      <c r="R12" s="15">
        <f>M12/$M$44</f>
        <v/>
      </c>
      <c r="S12" s="15">
        <f>N12/$N$44</f>
        <v/>
      </c>
      <c r="T12" s="15">
        <f>IF((I12-M12)/D12&lt;0,0*(I12-M12)/D12,(I12-M12)/D12)</f>
        <v/>
      </c>
      <c r="U12" s="15" t="n"/>
      <c r="V12" s="31">
        <f>IF(K12&gt;0,AVERAGE(K12,O12)," ")</f>
        <v/>
      </c>
      <c r="W12" s="3" t="n"/>
      <c r="X12" s="3" t="n"/>
      <c r="Y12" s="3" t="n"/>
      <c r="Z12" s="3" t="n"/>
      <c r="AA12" s="63" t="n"/>
      <c r="AB12" s="63" t="inlineStr">
        <is>
          <t xml:space="preserve">% Won To Nil  </t>
        </is>
      </c>
      <c r="AC12" s="63" t="inlineStr">
        <is>
          <t xml:space="preserve"> </t>
        </is>
      </c>
      <c r="AD12" s="32" t="n">
        <v>0.5</v>
      </c>
      <c r="AE12" s="63" t="n"/>
      <c r="AF12" s="32" t="n">
        <v>0.24</v>
      </c>
      <c r="AG12" s="63" t="n"/>
      <c r="AH12" s="63" t="n"/>
      <c r="AI12" s="63" t="inlineStr">
        <is>
          <t xml:space="preserve">% Won To Nil  </t>
        </is>
      </c>
      <c r="AJ12" s="63" t="inlineStr">
        <is>
          <t xml:space="preserve"> </t>
        </is>
      </c>
      <c r="AK12" s="32" t="n">
        <v>0.6</v>
      </c>
      <c r="AL12" s="63" t="n"/>
      <c r="AM12" s="32" t="n">
        <v>0.17</v>
      </c>
      <c r="AN12" s="18" t="n"/>
      <c r="AO12" s="18" t="n"/>
    </row>
    <row r="13" hidden="1" ht="29.6" customHeight="1" s="276">
      <c r="A13" s="4" t="n"/>
      <c r="B13" s="4" t="n"/>
      <c r="C13" s="33" t="inlineStr">
        <is>
          <t xml:space="preserve"> Criciuma </t>
        </is>
      </c>
      <c r="D13" s="34" t="n">
        <v>13</v>
      </c>
      <c r="E13" s="35" t="n">
        <v>1.15</v>
      </c>
      <c r="F13" s="35" t="n">
        <v>0.85</v>
      </c>
      <c r="G13" s="35" t="n">
        <v>2</v>
      </c>
      <c r="H13" s="36" t="inlineStr">
        <is>
          <t xml:space="preserve">  </t>
        </is>
      </c>
      <c r="I13" s="35" t="n">
        <v>1.33</v>
      </c>
      <c r="J13" s="35" t="n">
        <v>0.67</v>
      </c>
      <c r="K13" s="35" t="n">
        <v>2</v>
      </c>
      <c r="L13" s="36" t="inlineStr">
        <is>
          <t xml:space="preserve">  </t>
        </is>
      </c>
      <c r="M13" s="35" t="n">
        <v>1</v>
      </c>
      <c r="N13" s="35" t="n">
        <v>1</v>
      </c>
      <c r="O13" s="37" t="n">
        <v>2</v>
      </c>
      <c r="P13" s="23">
        <f>I13/$I$44</f>
        <v/>
      </c>
      <c r="Q13" s="23">
        <f>J13/$J$44</f>
        <v/>
      </c>
      <c r="R13" s="23">
        <f>M13/$M$44</f>
        <v/>
      </c>
      <c r="S13" s="23">
        <f>N13/$N$44</f>
        <v/>
      </c>
      <c r="T13" s="23">
        <f>IF((I13-M13)/D13&lt;0,0*(I13-M13)/D13,(I13-M13)/D13)</f>
        <v/>
      </c>
      <c r="U13" s="23" t="n"/>
      <c r="V13" s="38">
        <f>IF(K13&gt;0,AVERAGE(K13,O13)," ")</f>
        <v/>
      </c>
      <c r="W13" s="7" t="n"/>
      <c r="X13" s="7" t="n"/>
      <c r="Y13" s="7" t="n"/>
      <c r="Z13" s="7" t="n"/>
      <c r="AA13" s="4" t="n"/>
      <c r="AB13" s="4" t="inlineStr">
        <is>
          <t xml:space="preserve">% Lost To Nil  </t>
        </is>
      </c>
      <c r="AC13" s="4" t="n"/>
      <c r="AD13" s="24" t="n">
        <v>0</v>
      </c>
      <c r="AE13" s="4" t="inlineStr">
        <is>
          <t xml:space="preserve"> </t>
        </is>
      </c>
      <c r="AF13" s="24" t="n">
        <v>0.11</v>
      </c>
      <c r="AG13" s="4" t="n"/>
      <c r="AH13" s="4" t="n"/>
      <c r="AI13" s="4" t="inlineStr">
        <is>
          <t xml:space="preserve">% Lost To Nil  </t>
        </is>
      </c>
      <c r="AJ13" s="4" t="n"/>
      <c r="AK13" s="24" t="n">
        <v>0</v>
      </c>
      <c r="AL13" s="4" t="inlineStr">
        <is>
          <t xml:space="preserve"> </t>
        </is>
      </c>
      <c r="AM13" s="24" t="n">
        <v>0.27</v>
      </c>
      <c r="AN13" s="18" t="n"/>
      <c r="AO13" s="18" t="n"/>
    </row>
    <row r="14" hidden="1" ht="59.75" customHeight="1" s="276">
      <c r="A14" s="63" t="n"/>
      <c r="B14" s="63" t="n"/>
      <c r="C14" s="33" t="inlineStr">
        <is>
          <t xml:space="preserve"> Cuiaba </t>
        </is>
      </c>
      <c r="D14" s="34" t="n">
        <v>14</v>
      </c>
      <c r="E14" s="35" t="n">
        <v>0.64</v>
      </c>
      <c r="F14" s="35" t="n">
        <v>0.5</v>
      </c>
      <c r="G14" s="35" t="n">
        <v>1.14</v>
      </c>
      <c r="H14" s="36" t="inlineStr">
        <is>
          <t xml:space="preserve">  </t>
        </is>
      </c>
      <c r="I14" s="35" t="n">
        <v>0.71</v>
      </c>
      <c r="J14" s="35" t="n">
        <v>0.57</v>
      </c>
      <c r="K14" s="35" t="n">
        <v>1.29</v>
      </c>
      <c r="L14" s="36" t="inlineStr">
        <is>
          <t xml:space="preserve">  </t>
        </is>
      </c>
      <c r="M14" s="35" t="n">
        <v>0.57</v>
      </c>
      <c r="N14" s="35" t="n">
        <v>0.43</v>
      </c>
      <c r="O14" s="37" t="n">
        <v>1</v>
      </c>
      <c r="P14" s="15">
        <f>I14/$I$44</f>
        <v/>
      </c>
      <c r="Q14" s="15">
        <f>J14/$J$44</f>
        <v/>
      </c>
      <c r="R14" s="15">
        <f>M14/$M$44</f>
        <v/>
      </c>
      <c r="S14" s="15">
        <f>N14/$N$44</f>
        <v/>
      </c>
      <c r="T14" s="15">
        <f>IF((I14-M14)/D14&lt;0,0*(I14-M14)/D14,(I14-M14)/D14)</f>
        <v/>
      </c>
      <c r="U14" s="15" t="n"/>
      <c r="V14" s="31">
        <f>IF(K14&gt;0,AVERAGE(K14,O14)," ")</f>
        <v/>
      </c>
      <c r="W14" s="3" t="n"/>
      <c r="X14" s="3" t="n"/>
      <c r="Y14" s="3" t="n"/>
      <c r="Z14" s="3" t="n"/>
      <c r="AA14" s="63" t="n"/>
      <c r="AB14" s="63" t="inlineStr">
        <is>
          <t xml:space="preserve">Total goals per game  </t>
        </is>
      </c>
      <c r="AC14" s="63" t="n"/>
      <c r="AD14" s="17" t="n">
        <v>3</v>
      </c>
      <c r="AE14" s="63" t="inlineStr">
        <is>
          <t xml:space="preserve"> </t>
        </is>
      </c>
      <c r="AF14" s="63" t="n">
        <v>3.54</v>
      </c>
      <c r="AG14" s="63" t="n"/>
      <c r="AH14" s="63" t="n"/>
      <c r="AI14" s="63" t="inlineStr">
        <is>
          <t xml:space="preserve">% Team scored first  </t>
        </is>
      </c>
      <c r="AJ14" s="63" t="inlineStr">
        <is>
          <t xml:space="preserve"> </t>
        </is>
      </c>
      <c r="AK14" s="32" t="n">
        <v>1</v>
      </c>
      <c r="AL14" s="63" t="n"/>
      <c r="AM14" s="32" t="n">
        <v>0.36</v>
      </c>
      <c r="AN14" s="18" t="n"/>
      <c r="AO14" s="18" t="n"/>
    </row>
    <row r="15" hidden="1" ht="71.59999999999999" customHeight="1" s="276">
      <c r="A15" s="4" t="n"/>
      <c r="B15" s="4" t="n"/>
      <c r="C15" s="33" t="inlineStr">
        <is>
          <t xml:space="preserve"> Fortaleza </t>
        </is>
      </c>
      <c r="D15" s="34" t="n">
        <v>14</v>
      </c>
      <c r="E15" s="35" t="n">
        <v>1.14</v>
      </c>
      <c r="F15" s="35" t="n">
        <v>1.07</v>
      </c>
      <c r="G15" s="35" t="n">
        <v>2.21</v>
      </c>
      <c r="H15" s="36" t="inlineStr">
        <is>
          <t xml:space="preserve">  </t>
        </is>
      </c>
      <c r="I15" s="35" t="n">
        <v>2</v>
      </c>
      <c r="J15" s="35" t="n">
        <v>1.17</v>
      </c>
      <c r="K15" s="35" t="n">
        <v>3.17</v>
      </c>
      <c r="L15" s="36" t="inlineStr">
        <is>
          <t xml:space="preserve">  </t>
        </is>
      </c>
      <c r="M15" s="35" t="n">
        <v>0.5</v>
      </c>
      <c r="N15" s="35" t="n">
        <v>1</v>
      </c>
      <c r="O15" s="37" t="n">
        <v>1.5</v>
      </c>
      <c r="P15" s="23">
        <f>I15/$I$44</f>
        <v/>
      </c>
      <c r="Q15" s="23">
        <f>J15/$J$44</f>
        <v/>
      </c>
      <c r="R15" s="23">
        <f>M15/$M$44</f>
        <v/>
      </c>
      <c r="S15" s="23">
        <f>N15/$N$44</f>
        <v/>
      </c>
      <c r="T15" s="23">
        <f>IF((I15-M15)/D15&lt;0,0*(I15-M15)/D15,(I15-M15)/D15)</f>
        <v/>
      </c>
      <c r="U15" s="23" t="n"/>
      <c r="V15" s="38">
        <f>IF(K15&gt;0,AVERAGE(K15,O15)," ")</f>
        <v/>
      </c>
      <c r="W15" s="7" t="n"/>
      <c r="X15" s="7" t="n"/>
      <c r="Y15" s="7" t="n"/>
      <c r="Z15" s="7" t="n"/>
      <c r="AA15" s="4" t="n"/>
      <c r="AB15" s="4" t="inlineStr">
        <is>
          <t xml:space="preserve">% over 1.5 goals  </t>
        </is>
      </c>
      <c r="AC15" s="4" t="n"/>
      <c r="AD15" s="24" t="n">
        <v>0.75</v>
      </c>
      <c r="AE15" s="4" t="inlineStr">
        <is>
          <t xml:space="preserve"> </t>
        </is>
      </c>
      <c r="AF15" s="24" t="n">
        <v>0.88</v>
      </c>
      <c r="AG15" s="4" t="n"/>
      <c r="AH15" s="4" t="n"/>
      <c r="AI15" s="4" t="inlineStr">
        <is>
          <t xml:space="preserve">% Opponent scored first  </t>
        </is>
      </c>
      <c r="AJ15" s="4" t="n"/>
      <c r="AK15" s="24" t="n">
        <v>0</v>
      </c>
      <c r="AL15" s="4" t="inlineStr">
        <is>
          <t xml:space="preserve"> </t>
        </is>
      </c>
      <c r="AM15" s="24" t="n">
        <v>0.57</v>
      </c>
      <c r="AN15" s="18" t="n"/>
      <c r="AO15" s="18" t="n"/>
    </row>
    <row r="16" hidden="1" ht="79.65000000000001" customHeight="1" s="276">
      <c r="A16" s="63" t="n"/>
      <c r="B16" s="63" t="n"/>
      <c r="C16" s="33" t="inlineStr">
        <is>
          <t xml:space="preserve"> Goias </t>
        </is>
      </c>
      <c r="D16" s="34" t="n">
        <v>13</v>
      </c>
      <c r="E16" s="35" t="n">
        <v>1</v>
      </c>
      <c r="F16" s="35" t="n">
        <v>1.38</v>
      </c>
      <c r="G16" s="35" t="n">
        <v>2.38</v>
      </c>
      <c r="H16" s="36" t="inlineStr">
        <is>
          <t xml:space="preserve">  </t>
        </is>
      </c>
      <c r="I16" s="35" t="n">
        <v>1</v>
      </c>
      <c r="J16" s="35" t="n">
        <v>1.17</v>
      </c>
      <c r="K16" s="35" t="n">
        <v>2.17</v>
      </c>
      <c r="L16" s="36" t="inlineStr">
        <is>
          <t xml:space="preserve">  </t>
        </is>
      </c>
      <c r="M16" s="35" t="n">
        <v>1</v>
      </c>
      <c r="N16" s="35" t="n">
        <v>1.57</v>
      </c>
      <c r="O16" s="37" t="n">
        <v>2.57</v>
      </c>
      <c r="P16" s="15">
        <f>I16/$I$44</f>
        <v/>
      </c>
      <c r="Q16" s="15">
        <f>J16/$J$44</f>
        <v/>
      </c>
      <c r="R16" s="15">
        <f>M16/$M$44</f>
        <v/>
      </c>
      <c r="S16" s="15">
        <f>N16/$N$44</f>
        <v/>
      </c>
      <c r="T16" s="15">
        <f>IF((I16-M16)/D16&lt;0,0*(I16-M16)/D16,(I16-M16)/D16)</f>
        <v/>
      </c>
      <c r="U16" s="15" t="n"/>
      <c r="V16" s="31">
        <f>IF(K16&gt;0,AVERAGE(K16,O16)," ")</f>
        <v/>
      </c>
      <c r="W16" s="3" t="n"/>
      <c r="X16" s="3" t="n"/>
      <c r="Y16" s="3" t="n"/>
      <c r="Z16" s="3" t="n"/>
      <c r="AA16" s="63" t="n"/>
      <c r="AB16" s="63" t="inlineStr">
        <is>
          <t xml:space="preserve">% over 2.5 goals  </t>
        </is>
      </c>
      <c r="AC16" s="63" t="n"/>
      <c r="AD16" s="32" t="n">
        <v>0.5</v>
      </c>
      <c r="AE16" s="63" t="inlineStr">
        <is>
          <t xml:space="preserve"> </t>
        </is>
      </c>
      <c r="AF16" s="32" t="n">
        <v>0.74</v>
      </c>
      <c r="AG16" s="63" t="n"/>
      <c r="AH16" s="63" t="n"/>
      <c r="AI16" s="63" t="inlineStr">
        <is>
          <t xml:space="preserve">Total goals per game  </t>
        </is>
      </c>
      <c r="AJ16" s="63" t="n"/>
      <c r="AK16" s="17" t="n">
        <v>2.2</v>
      </c>
      <c r="AL16" s="63" t="inlineStr">
        <is>
          <t xml:space="preserve"> </t>
        </is>
      </c>
      <c r="AM16" s="63" t="n">
        <v>2.77</v>
      </c>
      <c r="AN16" s="18" t="n"/>
      <c r="AO16" s="18" t="n"/>
    </row>
    <row r="17" hidden="1" ht="57.05" customHeight="1" s="276">
      <c r="A17" s="4" t="n"/>
      <c r="B17" s="4" t="n"/>
      <c r="C17" s="33" t="inlineStr">
        <is>
          <t xml:space="preserve"> Juventude </t>
        </is>
      </c>
      <c r="D17" s="34" t="n">
        <v>13</v>
      </c>
      <c r="E17" s="35" t="n">
        <v>1</v>
      </c>
      <c r="F17" s="35" t="n">
        <v>0.62</v>
      </c>
      <c r="G17" s="35" t="n">
        <v>1.62</v>
      </c>
      <c r="H17" s="36" t="inlineStr">
        <is>
          <t xml:space="preserve">  </t>
        </is>
      </c>
      <c r="I17" s="35" t="n">
        <v>1.29</v>
      </c>
      <c r="J17" s="35" t="n">
        <v>0.14</v>
      </c>
      <c r="K17" s="35" t="n">
        <v>1.43</v>
      </c>
      <c r="L17" s="36" t="inlineStr">
        <is>
          <t xml:space="preserve">  </t>
        </is>
      </c>
      <c r="M17" s="35" t="n">
        <v>0.67</v>
      </c>
      <c r="N17" s="35" t="n">
        <v>1.17</v>
      </c>
      <c r="O17" s="37" t="n">
        <v>1.83</v>
      </c>
      <c r="P17" s="23">
        <f>I17/$I$44</f>
        <v/>
      </c>
      <c r="Q17" s="23">
        <f>J17/$J$44</f>
        <v/>
      </c>
      <c r="R17" s="23">
        <f>M17/$M$44</f>
        <v/>
      </c>
      <c r="S17" s="23">
        <f>N17/$N$44</f>
        <v/>
      </c>
      <c r="T17" s="23">
        <f>IF((I17-M17)/D17&lt;0,0*(I17-M17)/D17,(I17-M17)/D17)</f>
        <v/>
      </c>
      <c r="U17" s="23" t="n"/>
      <c r="V17" s="38">
        <f>IF(K17&gt;0,AVERAGE(K17,O17)," ")</f>
        <v/>
      </c>
      <c r="W17" s="7" t="n"/>
      <c r="X17" s="7" t="n"/>
      <c r="Y17" s="7" t="n"/>
      <c r="Z17" s="7" t="n"/>
      <c r="AA17" s="4" t="n"/>
      <c r="AB17" s="4" t="inlineStr">
        <is>
          <t xml:space="preserve">% over 3.5 goals  </t>
        </is>
      </c>
      <c r="AC17" s="4" t="n"/>
      <c r="AD17" s="24" t="n">
        <v>0.25</v>
      </c>
      <c r="AE17" s="4" t="inlineStr">
        <is>
          <t xml:space="preserve"> </t>
        </is>
      </c>
      <c r="AF17" s="24" t="n">
        <v>0.51</v>
      </c>
      <c r="AG17" s="4" t="n"/>
      <c r="AH17" s="4" t="n"/>
      <c r="AI17" s="4" t="inlineStr">
        <is>
          <t xml:space="preserve">% over 1.5 goals  </t>
        </is>
      </c>
      <c r="AJ17" s="4" t="inlineStr">
        <is>
          <t xml:space="preserve"> </t>
        </is>
      </c>
      <c r="AK17" s="24" t="n">
        <v>0.8</v>
      </c>
      <c r="AL17" s="4" t="n"/>
      <c r="AM17" s="24" t="n">
        <v>0.76</v>
      </c>
      <c r="AN17" s="18" t="n"/>
      <c r="AO17" s="18" t="n"/>
    </row>
    <row r="18" hidden="1" ht="30.65" customHeight="1" s="276">
      <c r="A18" s="63" t="n"/>
      <c r="B18" s="63" t="n"/>
      <c r="C18" s="33" t="inlineStr">
        <is>
          <t xml:space="preserve"> Londrina </t>
        </is>
      </c>
      <c r="D18" s="34" t="n">
        <v>14</v>
      </c>
      <c r="E18" s="35" t="n">
        <v>1.21</v>
      </c>
      <c r="F18" s="35" t="n">
        <v>1.57</v>
      </c>
      <c r="G18" s="35" t="n">
        <v>2.79</v>
      </c>
      <c r="H18" s="40" t="inlineStr">
        <is>
          <t xml:space="preserve">  </t>
        </is>
      </c>
      <c r="I18" s="35" t="n">
        <v>1.29</v>
      </c>
      <c r="J18" s="35" t="n">
        <v>1.43</v>
      </c>
      <c r="K18" s="35" t="n">
        <v>2.71</v>
      </c>
      <c r="L18" s="36" t="inlineStr">
        <is>
          <t xml:space="preserve">  </t>
        </is>
      </c>
      <c r="M18" s="35" t="n">
        <v>1.14</v>
      </c>
      <c r="N18" s="35" t="n">
        <v>1.71</v>
      </c>
      <c r="O18" s="37" t="n">
        <v>2.86</v>
      </c>
      <c r="P18" s="15">
        <f>I18/$I$44</f>
        <v/>
      </c>
      <c r="Q18" s="15">
        <f>J18/$J$44</f>
        <v/>
      </c>
      <c r="R18" s="15">
        <f>M18/$M$44</f>
        <v/>
      </c>
      <c r="S18" s="15">
        <f>N18/$N$44</f>
        <v/>
      </c>
      <c r="T18" s="15">
        <f>IF((I18-M18)/D18&lt;0,0*(I18-M18)/D18,(I18-M18)/D18)</f>
        <v/>
      </c>
      <c r="U18" s="15" t="n"/>
      <c r="V18" s="31">
        <f>IF(K18&gt;0,AVERAGE(K18,O18)," ")</f>
        <v/>
      </c>
      <c r="W18" s="3" t="n"/>
      <c r="X18" s="3" t="n"/>
      <c r="Y18" s="3" t="n"/>
      <c r="Z18" s="3" t="n"/>
      <c r="AA18" s="63" t="n"/>
      <c r="AB18" s="63" t="inlineStr">
        <is>
          <t xml:space="preserve">% both teams scored  </t>
        </is>
      </c>
      <c r="AC18" s="63" t="n"/>
      <c r="AD18" s="32" t="n">
        <v>0.5</v>
      </c>
      <c r="AE18" s="63" t="inlineStr">
        <is>
          <t xml:space="preserve"> </t>
        </is>
      </c>
      <c r="AF18" s="32" t="n">
        <v>0.62</v>
      </c>
      <c r="AG18" s="63" t="n"/>
      <c r="AH18" s="63" t="n"/>
      <c r="AI18" s="63" t="inlineStr">
        <is>
          <t xml:space="preserve">% over 2.5 goals  </t>
        </is>
      </c>
      <c r="AJ18" s="63" t="n"/>
      <c r="AK18" s="32" t="n">
        <v>0.4</v>
      </c>
      <c r="AL18" s="63" t="inlineStr">
        <is>
          <t xml:space="preserve"> </t>
        </is>
      </c>
      <c r="AM18" s="32" t="n">
        <v>0.55</v>
      </c>
      <c r="AN18" s="18" t="n"/>
      <c r="AO18" s="18" t="n"/>
    </row>
    <row r="19" hidden="1" ht="48.45" customHeight="1" s="276">
      <c r="A19" s="4" t="n"/>
      <c r="B19" s="4" t="n"/>
      <c r="C19" s="33" t="inlineStr">
        <is>
          <t xml:space="preserve"> Nautico </t>
        </is>
      </c>
      <c r="D19" s="34" t="n">
        <v>14</v>
      </c>
      <c r="E19" s="35" t="n">
        <v>1.5</v>
      </c>
      <c r="F19" s="35" t="n">
        <v>1.29</v>
      </c>
      <c r="G19" s="35" t="n">
        <v>2.79</v>
      </c>
      <c r="H19" s="40" t="inlineStr">
        <is>
          <t xml:space="preserve">  </t>
        </is>
      </c>
      <c r="I19" s="35" t="n">
        <v>1</v>
      </c>
      <c r="J19" s="35" t="n">
        <v>0.83</v>
      </c>
      <c r="K19" s="35" t="n">
        <v>1.83</v>
      </c>
      <c r="L19" s="36" t="inlineStr">
        <is>
          <t xml:space="preserve">  </t>
        </is>
      </c>
      <c r="M19" s="35" t="n">
        <v>1.88</v>
      </c>
      <c r="N19" s="35" t="n">
        <v>1.63</v>
      </c>
      <c r="O19" s="37" t="n">
        <v>3.5</v>
      </c>
      <c r="P19" s="23">
        <f>I19/$I$44</f>
        <v/>
      </c>
      <c r="Q19" s="23">
        <f>J19/$J$44</f>
        <v/>
      </c>
      <c r="R19" s="23">
        <f>M19/$M$44</f>
        <v/>
      </c>
      <c r="S19" s="23">
        <f>N19/$N$44</f>
        <v/>
      </c>
      <c r="T19" s="23">
        <f>IF((I19-M19)/D19&lt;0,0*(I19-M19)/D19,(I19-M19)/D19)</f>
        <v/>
      </c>
      <c r="U19" s="23" t="n"/>
      <c r="V19" s="38">
        <f>IF(K19&gt;0,AVERAGE(K19,O19)," ")</f>
        <v/>
      </c>
      <c r="W19" s="7" t="n"/>
      <c r="X19" s="7" t="n"/>
      <c r="Y19" s="7" t="n"/>
      <c r="Z19" s="7" t="n"/>
      <c r="AA19" s="4" t="n"/>
      <c r="AB19" s="4" t="inlineStr">
        <is>
          <t xml:space="preserve">% Team scored first  </t>
        </is>
      </c>
      <c r="AC19" s="4" t="n"/>
      <c r="AD19" s="24" t="n">
        <v>0.5</v>
      </c>
      <c r="AE19" s="4" t="inlineStr">
        <is>
          <t xml:space="preserve"> </t>
        </is>
      </c>
      <c r="AF19" s="24" t="n">
        <v>0.5600000000000001</v>
      </c>
      <c r="AG19" s="4" t="n"/>
      <c r="AH19" s="4" t="n"/>
      <c r="AI19" s="4" t="inlineStr">
        <is>
          <t xml:space="preserve">% over 3.5 goals  </t>
        </is>
      </c>
      <c r="AJ19" s="4" t="n"/>
      <c r="AK19" s="24" t="n">
        <v>0</v>
      </c>
      <c r="AL19" s="4" t="inlineStr">
        <is>
          <t xml:space="preserve"> </t>
        </is>
      </c>
      <c r="AM19" s="24" t="n">
        <v>0.29</v>
      </c>
      <c r="AN19" s="18" t="n"/>
      <c r="AO19" s="18" t="n"/>
    </row>
    <row r="20" hidden="1" ht="186.8" customHeight="1" s="276">
      <c r="A20" s="63" t="n"/>
      <c r="B20" s="63" t="n"/>
      <c r="C20" s="41" t="inlineStr">
        <is>
          <t xml:space="preserve"> Novorizontino </t>
        </is>
      </c>
      <c r="D20" s="42" t="n">
        <v>13</v>
      </c>
      <c r="E20" s="43" t="n">
        <v>1.54</v>
      </c>
      <c r="F20" s="43" t="n">
        <v>1</v>
      </c>
      <c r="G20" s="43" t="n">
        <v>2.54</v>
      </c>
      <c r="H20" s="44" t="inlineStr">
        <is>
          <t xml:space="preserve">  </t>
        </is>
      </c>
      <c r="I20" s="43" t="n">
        <v>1.5</v>
      </c>
      <c r="J20" s="43" t="n">
        <v>1.33</v>
      </c>
      <c r="K20" s="43" t="n">
        <v>2.83</v>
      </c>
      <c r="L20" s="44" t="inlineStr">
        <is>
          <t xml:space="preserve">  </t>
        </is>
      </c>
      <c r="M20" s="43" t="n">
        <v>1.57</v>
      </c>
      <c r="N20" s="43" t="n">
        <v>0.71</v>
      </c>
      <c r="O20" s="45" t="n">
        <v>2.29</v>
      </c>
      <c r="P20" s="15">
        <f>I20/$I$44</f>
        <v/>
      </c>
      <c r="Q20" s="15">
        <f>J20/$J$44</f>
        <v/>
      </c>
      <c r="R20" s="15">
        <f>M20/$M$44</f>
        <v/>
      </c>
      <c r="S20" s="15">
        <f>N20/$N$44</f>
        <v/>
      </c>
      <c r="T20" s="15">
        <f>IF((I20-M20)/D20&lt;0,0*(I20-M20)/D20,(I20-M20)/D20)</f>
        <v/>
      </c>
      <c r="U20" s="15" t="n"/>
      <c r="V20" s="31">
        <f>IF(K20&gt;0,AVERAGE(K20,O20)," ")</f>
        <v/>
      </c>
      <c r="W20" s="3" t="n"/>
      <c r="X20" s="3" t="n"/>
      <c r="Y20" s="3" t="n"/>
      <c r="Z20" s="3" t="n"/>
      <c r="AA20" s="63" t="n"/>
      <c r="AB20" s="63" t="inlineStr">
        <is>
          <t xml:space="preserve">% Opponent scored first  </t>
        </is>
      </c>
      <c r="AC20" s="63" t="inlineStr">
        <is>
          <t xml:space="preserve"> </t>
        </is>
      </c>
      <c r="AD20" s="32" t="n">
        <v>0.5</v>
      </c>
      <c r="AE20" s="63" t="n"/>
      <c r="AF20" s="32" t="n">
        <v>0.42</v>
      </c>
      <c r="AG20" s="63" t="n"/>
      <c r="AH20" s="63" t="n"/>
      <c r="AI20" s="63" t="inlineStr">
        <is>
          <t xml:space="preserve">% both teams scored  </t>
        </is>
      </c>
      <c r="AJ20" s="63" t="n"/>
      <c r="AK20" s="32" t="n">
        <v>0.4</v>
      </c>
      <c r="AL20" s="63" t="inlineStr">
        <is>
          <t xml:space="preserve"> </t>
        </is>
      </c>
      <c r="AM20" s="32" t="n">
        <v>0.49</v>
      </c>
      <c r="AN20" s="18" t="n"/>
      <c r="AO20" s="18" t="n"/>
    </row>
    <row r="21" hidden="1" ht="52.2" customHeight="1" s="276">
      <c r="A21" s="4" t="n"/>
      <c r="B21" s="4" t="n"/>
      <c r="C21" s="41" t="inlineStr">
        <is>
          <t xml:space="preserve"> Operario PR </t>
        </is>
      </c>
      <c r="D21" s="42" t="n">
        <v>13</v>
      </c>
      <c r="E21" s="43" t="n">
        <v>1.15</v>
      </c>
      <c r="F21" s="43" t="n">
        <v>1.31</v>
      </c>
      <c r="G21" s="43" t="n">
        <v>2.46</v>
      </c>
      <c r="H21" s="46" t="inlineStr">
        <is>
          <t xml:space="preserve">  </t>
        </is>
      </c>
      <c r="I21" s="43" t="n">
        <v>1.29</v>
      </c>
      <c r="J21" s="43" t="n">
        <v>1.14</v>
      </c>
      <c r="K21" s="43" t="n">
        <v>2.43</v>
      </c>
      <c r="L21" s="44" t="inlineStr">
        <is>
          <t xml:space="preserve">  </t>
        </is>
      </c>
      <c r="M21" s="43" t="n">
        <v>1</v>
      </c>
      <c r="N21" s="43" t="n">
        <v>1.5</v>
      </c>
      <c r="O21" s="45" t="n">
        <v>2.5</v>
      </c>
      <c r="P21" s="23">
        <f>I21/$I$44</f>
        <v/>
      </c>
      <c r="Q21" s="23">
        <f>J21/$J$44</f>
        <v/>
      </c>
      <c r="R21" s="23">
        <f>M21/$M$44</f>
        <v/>
      </c>
      <c r="S21" s="23">
        <f>N21/$N$44</f>
        <v/>
      </c>
      <c r="T21" s="23">
        <f>IF((I21-M21)/D21&lt;0,0*(I21-M21)/D21,(I21-M21)/D21)</f>
        <v/>
      </c>
      <c r="U21" s="23" t="n"/>
      <c r="V21" s="38">
        <f>IF(K21&gt;0,AVERAGE(K21,O21)," ")</f>
        <v/>
      </c>
      <c r="W21" s="7" t="n"/>
      <c r="X21" s="7" t="n"/>
      <c r="Y21" s="7" t="n"/>
      <c r="Z21" s="7" t="n"/>
      <c r="AA21" s="4" t="n"/>
      <c r="AB21" s="4" t="inlineStr">
        <is>
          <t xml:space="preserve">Average minute scored first  </t>
        </is>
      </c>
      <c r="AC21" s="4" t="inlineStr">
        <is>
          <t xml:space="preserve"> </t>
        </is>
      </c>
      <c r="AD21" s="4" t="n">
        <v>48</v>
      </c>
      <c r="AE21" s="4" t="n"/>
      <c r="AF21" s="4" t="n">
        <v>24</v>
      </c>
      <c r="AG21" s="4" t="n"/>
      <c r="AH21" s="4" t="n"/>
      <c r="AI21" s="4" t="n"/>
      <c r="AJ21" s="4" t="n"/>
      <c r="AK21" s="4" t="n"/>
      <c r="AL21" s="4" t="n"/>
      <c r="AM21" s="4" t="n"/>
      <c r="AN21" s="18" t="n"/>
      <c r="AO21" s="18" t="n"/>
    </row>
    <row r="22" hidden="1" ht="39.3" customHeight="1" s="276">
      <c r="A22" s="63" t="n"/>
      <c r="B22" s="63" t="n"/>
      <c r="C22" s="47" t="inlineStr">
        <is>
          <t xml:space="preserve"> Ponte Preta </t>
        </is>
      </c>
      <c r="D22" s="42" t="n">
        <v>13</v>
      </c>
      <c r="E22" s="43" t="n">
        <v>0.77</v>
      </c>
      <c r="F22" s="43" t="n">
        <v>1.92</v>
      </c>
      <c r="G22" s="43" t="n">
        <v>2.69</v>
      </c>
      <c r="H22" s="44" t="inlineStr">
        <is>
          <t xml:space="preserve">  </t>
        </is>
      </c>
      <c r="I22" s="43" t="n">
        <v>0.71</v>
      </c>
      <c r="J22" s="43" t="n">
        <v>1.57</v>
      </c>
      <c r="K22" s="43" t="n">
        <v>2.29</v>
      </c>
      <c r="L22" s="44" t="inlineStr">
        <is>
          <t xml:space="preserve">  </t>
        </is>
      </c>
      <c r="M22" s="43" t="n">
        <v>0.83</v>
      </c>
      <c r="N22" s="43" t="n">
        <v>2.33</v>
      </c>
      <c r="O22" s="45" t="n">
        <v>3.17</v>
      </c>
      <c r="P22" s="15">
        <f>I22/$I$44</f>
        <v/>
      </c>
      <c r="Q22" s="15">
        <f>J22/$J$44</f>
        <v/>
      </c>
      <c r="R22" s="15">
        <f>M22/$M$44</f>
        <v/>
      </c>
      <c r="S22" s="15">
        <f>N22/$N$44</f>
        <v/>
      </c>
      <c r="T22" s="15">
        <f>IF((I22-M22)/D22&lt;0,0*(I22-M22)/D22,(I22-M22)/D22)</f>
        <v/>
      </c>
      <c r="U22" s="15" t="n"/>
      <c r="V22" s="31">
        <f>IF(K22&gt;0,AVERAGE(K22,O22)," ")</f>
        <v/>
      </c>
      <c r="W22" s="3" t="n"/>
      <c r="X22" s="3" t="n"/>
      <c r="Y22" s="3" t="n"/>
      <c r="Z22" s="3" t="n"/>
      <c r="AA22" s="63" t="n"/>
      <c r="AB22" s="63" t="inlineStr">
        <is>
          <t xml:space="preserve">Average minute conceded first  </t>
        </is>
      </c>
      <c r="AC22" s="63" t="n"/>
      <c r="AD22" s="63" t="n">
        <v>13</v>
      </c>
      <c r="AE22" s="63" t="inlineStr">
        <is>
          <t xml:space="preserve"> </t>
        </is>
      </c>
      <c r="AF22" s="63" t="n">
        <v>27</v>
      </c>
      <c r="AG22" s="63" t="n"/>
      <c r="AH22" s="63" t="n"/>
      <c r="AI22" s="63" t="n"/>
      <c r="AJ22" s="63" t="n"/>
      <c r="AK22" s="63" t="n"/>
      <c r="AL22" s="63" t="n"/>
      <c r="AM22" s="63" t="n"/>
      <c r="AN22" s="18" t="n"/>
      <c r="AO22" s="18" t="n"/>
    </row>
    <row r="23" hidden="1" ht="25.8" customHeight="1" s="276">
      <c r="A23" s="4" t="n"/>
      <c r="B23" s="4" t="n"/>
      <c r="C23" s="47" t="inlineStr">
        <is>
          <t xml:space="preserve"> Sao Bernardo </t>
        </is>
      </c>
      <c r="D23" s="42" t="n">
        <v>13</v>
      </c>
      <c r="E23" s="43" t="n">
        <v>1.54</v>
      </c>
      <c r="F23" s="43" t="n">
        <v>0.77</v>
      </c>
      <c r="G23" s="43" t="n">
        <v>2.31</v>
      </c>
      <c r="H23" s="44" t="inlineStr">
        <is>
          <t xml:space="preserve">  </t>
        </is>
      </c>
      <c r="I23" s="43" t="n">
        <v>1</v>
      </c>
      <c r="J23" s="43" t="n">
        <v>0.71</v>
      </c>
      <c r="K23" s="43" t="n">
        <v>1.71</v>
      </c>
      <c r="L23" s="44" t="inlineStr">
        <is>
          <t xml:space="preserve">  </t>
        </is>
      </c>
      <c r="M23" s="43" t="n">
        <v>2.17</v>
      </c>
      <c r="N23" s="43" t="n">
        <v>0.83</v>
      </c>
      <c r="O23" s="45" t="n">
        <v>3</v>
      </c>
      <c r="P23" s="23">
        <f>I23/$I$44</f>
        <v/>
      </c>
      <c r="Q23" s="23">
        <f>J23/$J$44</f>
        <v/>
      </c>
      <c r="R23" s="23">
        <f>M23/$M$44</f>
        <v/>
      </c>
      <c r="S23" s="23">
        <f>N23/$N$44</f>
        <v/>
      </c>
      <c r="T23" s="23">
        <f>IF((I23-M23)/D23&lt;0,0*(I23-M23)/D23,(I23-M23)/D23)</f>
        <v/>
      </c>
      <c r="U23" s="23" t="n"/>
      <c r="V23" s="38">
        <f>IF(K23&gt;0,AVERAGE(K23,O23)," ")</f>
        <v/>
      </c>
      <c r="W23" s="7" t="n"/>
      <c r="X23" s="7" t="n"/>
      <c r="Y23" s="7" t="n"/>
      <c r="Z23" s="7" t="n"/>
      <c r="AA23" s="4" t="n"/>
      <c r="AB23" s="4" t="inlineStr">
        <is>
          <t xml:space="preserve">Lead-defending rate  </t>
        </is>
      </c>
      <c r="AC23" s="4" t="inlineStr">
        <is>
          <t xml:space="preserve"> </t>
        </is>
      </c>
      <c r="AD23" s="24" t="n">
        <v>0.75</v>
      </c>
      <c r="AE23" s="4" t="n"/>
      <c r="AF23" s="24" t="n">
        <v>0.6</v>
      </c>
      <c r="AG23" s="4" t="n"/>
      <c r="AH23" s="4" t="n"/>
      <c r="AI23" s="4" t="n"/>
      <c r="AJ23" s="4" t="n"/>
      <c r="AK23" s="4" t="n"/>
      <c r="AL23" s="4" t="n"/>
      <c r="AM23" s="4" t="n"/>
      <c r="AN23" s="18" t="n"/>
      <c r="AO23" s="18" t="n"/>
    </row>
    <row r="24" hidden="1" ht="13.95" customHeight="1" s="276">
      <c r="A24" s="63" t="n"/>
      <c r="B24" s="63" t="n"/>
      <c r="C24" s="47" t="inlineStr">
        <is>
          <t xml:space="preserve"> Sport Recife </t>
        </is>
      </c>
      <c r="D24" s="42" t="n">
        <v>14</v>
      </c>
      <c r="E24" s="43" t="n">
        <v>1.21</v>
      </c>
      <c r="F24" s="43" t="n">
        <v>0.64</v>
      </c>
      <c r="G24" s="43" t="n">
        <v>1.86</v>
      </c>
      <c r="H24" s="44" t="inlineStr">
        <is>
          <t xml:space="preserve">  </t>
        </is>
      </c>
      <c r="I24" s="43" t="n">
        <v>1.38</v>
      </c>
      <c r="J24" s="43" t="n">
        <v>0.88</v>
      </c>
      <c r="K24" s="43" t="n">
        <v>2.25</v>
      </c>
      <c r="L24" s="44" t="inlineStr">
        <is>
          <t xml:space="preserve">  </t>
        </is>
      </c>
      <c r="M24" s="43" t="n">
        <v>1</v>
      </c>
      <c r="N24" s="43" t="n">
        <v>0.33</v>
      </c>
      <c r="O24" s="45" t="n">
        <v>1.33</v>
      </c>
      <c r="P24" s="15">
        <f>I24/$I$44</f>
        <v/>
      </c>
      <c r="Q24" s="15">
        <f>J24/$J$44</f>
        <v/>
      </c>
      <c r="R24" s="15">
        <f>M24/$M$44</f>
        <v/>
      </c>
      <c r="S24" s="15">
        <f>N24/$N$44</f>
        <v/>
      </c>
      <c r="T24" s="15">
        <f>IF((I24-M24)/D24&lt;0,0*(I24-M24)/D24,(I24-M24)/D24)</f>
        <v/>
      </c>
      <c r="U24" s="15" t="n"/>
      <c r="V24" s="31">
        <f>IF(K24&gt;0,AVERAGE(K24,O24)," ")</f>
        <v/>
      </c>
      <c r="W24" s="3" t="n"/>
      <c r="X24" s="3" t="n"/>
      <c r="Y24" s="3" t="n"/>
      <c r="Z24" s="3" t="n"/>
      <c r="AA24" s="63" t="n"/>
      <c r="AB24" s="63" t="inlineStr">
        <is>
          <t xml:space="preserve">Equalizing rate  </t>
        </is>
      </c>
      <c r="AC24" s="63" t="inlineStr">
        <is>
          <t xml:space="preserve"> </t>
        </is>
      </c>
      <c r="AD24" s="32" t="n">
        <v>0.67</v>
      </c>
      <c r="AE24" s="63" t="n"/>
      <c r="AF24" s="32" t="n">
        <v>0.43</v>
      </c>
      <c r="AG24" s="63" t="n"/>
      <c r="AH24" s="63" t="n"/>
      <c r="AI24" s="63" t="n"/>
      <c r="AJ24" s="63" t="n"/>
      <c r="AK24" s="63" t="n"/>
      <c r="AL24" s="63" t="n"/>
      <c r="AM24" s="63" t="n"/>
      <c r="AN24" s="18" t="n"/>
      <c r="AO24" s="18" t="n"/>
    </row>
    <row r="25" hidden="1" ht="69.45" customHeight="1" s="276">
      <c r="A25" s="4" t="n"/>
      <c r="B25" s="4" t="n"/>
      <c r="C25" s="47" t="inlineStr">
        <is>
          <t xml:space="preserve"> Vila Nova </t>
        </is>
      </c>
      <c r="D25" s="42" t="n">
        <v>14</v>
      </c>
      <c r="E25" s="43" t="n">
        <v>1.57</v>
      </c>
      <c r="F25" s="43" t="n">
        <v>1.07</v>
      </c>
      <c r="G25" s="43" t="n">
        <v>2.64</v>
      </c>
      <c r="H25" s="44" t="inlineStr">
        <is>
          <t xml:space="preserve">  </t>
        </is>
      </c>
      <c r="I25" s="43" t="n">
        <v>2</v>
      </c>
      <c r="J25" s="43" t="n">
        <v>1.14</v>
      </c>
      <c r="K25" s="43" t="n">
        <v>3.14</v>
      </c>
      <c r="L25" s="44" t="inlineStr">
        <is>
          <t xml:space="preserve">  </t>
        </is>
      </c>
      <c r="M25" s="43" t="n">
        <v>1.14</v>
      </c>
      <c r="N25" s="43" t="n">
        <v>1</v>
      </c>
      <c r="O25" s="45" t="n">
        <v>2.14</v>
      </c>
      <c r="P25" s="23">
        <f>I25/$I$44</f>
        <v/>
      </c>
      <c r="Q25" s="23">
        <f>J25/$J$44</f>
        <v/>
      </c>
      <c r="R25" s="23">
        <f>M25/$M$44</f>
        <v/>
      </c>
      <c r="S25" s="23">
        <f>N25/$N$44</f>
        <v/>
      </c>
      <c r="T25" s="23">
        <f>IF((I25-M25)/D25&lt;0,0*(I25-M25)/D25,(I25-M25)/D25)</f>
        <v/>
      </c>
      <c r="U25" s="23" t="n"/>
      <c r="V25" s="38">
        <f>IF(K25&gt;0,AVERAGE(K25,O25)," ")</f>
        <v/>
      </c>
      <c r="W25" s="7" t="n"/>
      <c r="X25" s="7" t="n"/>
      <c r="Y25" s="7" t="n"/>
      <c r="Z25" s="7" t="n"/>
      <c r="AA25" s="4" t="n"/>
      <c r="AB25" s="4" t="inlineStr">
        <is>
          <t xml:space="preserve">% Time leading  </t>
        </is>
      </c>
      <c r="AC25" s="4" t="inlineStr">
        <is>
          <t xml:space="preserve"> </t>
        </is>
      </c>
      <c r="AD25" s="24" t="n">
        <v>0.4</v>
      </c>
      <c r="AE25" s="4" t="n"/>
      <c r="AF25" s="24" t="n">
        <v>0.37</v>
      </c>
      <c r="AG25" s="4" t="n"/>
      <c r="AH25" s="4" t="n"/>
      <c r="AI25" s="4" t="n"/>
      <c r="AJ25" s="4" t="n"/>
      <c r="AK25" s="4" t="n"/>
      <c r="AL25" s="4" t="n"/>
      <c r="AM25" s="4" t="n"/>
      <c r="AN25" s="18" t="n"/>
      <c r="AO25" s="18" t="n"/>
    </row>
    <row r="26" hidden="1" ht="38.2" customHeight="1" s="276">
      <c r="A26" s="63" t="n"/>
      <c r="B26" s="63" t="n"/>
      <c r="C26" s="47" t="n"/>
      <c r="D26" s="42" t="n"/>
      <c r="E26" s="43" t="n"/>
      <c r="F26" s="43" t="n"/>
      <c r="G26" s="43" t="n"/>
      <c r="H26" s="44" t="n"/>
      <c r="I26" s="43" t="n"/>
      <c r="J26" s="43" t="n"/>
      <c r="K26" s="43" t="n"/>
      <c r="L26" s="44" t="n"/>
      <c r="M26" s="43" t="n"/>
      <c r="N26" s="43" t="n"/>
      <c r="O26" s="45" t="n"/>
      <c r="P26" s="15">
        <f>I26/$I$44</f>
        <v/>
      </c>
      <c r="Q26" s="15">
        <f>J26/$J$44</f>
        <v/>
      </c>
      <c r="R26" s="15">
        <f>M26/$M$44</f>
        <v/>
      </c>
      <c r="S26" s="15">
        <f>N26/$N$44</f>
        <v/>
      </c>
      <c r="T26" s="15">
        <f>IF((I26-M26)/D26&lt;0,0*(I26-M26)/D26,(I26-M26)/D26)</f>
        <v/>
      </c>
      <c r="U26" s="15" t="n"/>
      <c r="V26" s="31">
        <f>IF(K26&gt;0,AVERAGE(K26,O26)," ")</f>
        <v/>
      </c>
      <c r="W26" s="3" t="n"/>
      <c r="X26" s="3" t="n"/>
      <c r="Y26" s="3" t="n"/>
      <c r="Z26" s="3" t="n"/>
      <c r="AA26" s="63" t="n"/>
      <c r="AB26" s="63" t="inlineStr">
        <is>
          <t xml:space="preserve">% Time level in goals  </t>
        </is>
      </c>
      <c r="AC26" s="63" t="inlineStr">
        <is>
          <t xml:space="preserve"> </t>
        </is>
      </c>
      <c r="AD26" s="32" t="n">
        <v>0.47</v>
      </c>
      <c r="AE26" s="63" t="n"/>
      <c r="AF26" s="32" t="n">
        <v>0.4</v>
      </c>
      <c r="AG26" s="63" t="n"/>
      <c r="AH26" s="63" t="n"/>
      <c r="AI26" s="63" t="n"/>
      <c r="AJ26" s="63" t="n"/>
      <c r="AK26" s="63" t="n"/>
      <c r="AL26" s="63" t="n"/>
      <c r="AM26" s="63" t="n"/>
      <c r="AN26" s="18" t="n"/>
      <c r="AO26" s="18" t="n"/>
    </row>
    <row r="27" hidden="1" ht="61.9" customHeight="1" s="276">
      <c r="A27" s="4" t="n"/>
      <c r="B27" s="4" t="n"/>
      <c r="C27" s="47" t="n"/>
      <c r="D27" s="42" t="n"/>
      <c r="E27" s="43" t="n"/>
      <c r="F27" s="43" t="n"/>
      <c r="G27" s="43" t="n"/>
      <c r="H27" s="44" t="n"/>
      <c r="I27" s="43" t="n"/>
      <c r="J27" s="43" t="n"/>
      <c r="K27" s="43" t="n"/>
      <c r="L27" s="44" t="n"/>
      <c r="M27" s="43" t="n"/>
      <c r="N27" s="43" t="n"/>
      <c r="O27" s="45" t="n"/>
      <c r="P27" s="23">
        <f>I27/$I$44</f>
        <v/>
      </c>
      <c r="Q27" s="23">
        <f>J27/$J$44</f>
        <v/>
      </c>
      <c r="R27" s="23">
        <f>M27/$M$44</f>
        <v/>
      </c>
      <c r="S27" s="23">
        <f>N27/$N$44</f>
        <v/>
      </c>
      <c r="T27" s="23">
        <f>IF((I27-M27)/D27&lt;0,0*(I27-M27)/D27,(I27-M27)/D27)</f>
        <v/>
      </c>
      <c r="U27" s="23" t="n"/>
      <c r="V27" s="38">
        <f>IF(K27&gt;0,AVERAGE(K27,O27)," ")</f>
        <v/>
      </c>
      <c r="W27" s="7" t="n"/>
      <c r="X27" s="7" t="n"/>
      <c r="Y27" s="7" t="n"/>
      <c r="Z27" s="7" t="n"/>
      <c r="AA27" s="4" t="n"/>
      <c r="AB27" s="4" t="inlineStr">
        <is>
          <t xml:space="preserve">% Time trailing  </t>
        </is>
      </c>
      <c r="AC27" s="4" t="n"/>
      <c r="AD27" s="24" t="n">
        <v>0.13</v>
      </c>
      <c r="AE27" s="4" t="inlineStr">
        <is>
          <t xml:space="preserve"> </t>
        </is>
      </c>
      <c r="AF27" s="24" t="n">
        <v>0.23</v>
      </c>
      <c r="AG27" s="4" t="n"/>
      <c r="AH27" s="4" t="n"/>
      <c r="AI27" s="4" t="n"/>
      <c r="AJ27" s="4" t="n"/>
      <c r="AK27" s="4" t="n"/>
      <c r="AL27" s="4" t="n"/>
      <c r="AM27" s="4" t="n"/>
      <c r="AN27" s="18" t="n"/>
      <c r="AO27" s="18" t="n"/>
    </row>
    <row r="28" hidden="1" ht="53.8" customHeight="1" s="276">
      <c r="A28" s="63" t="n"/>
      <c r="B28" s="63" t="n"/>
      <c r="C28" s="47" t="n"/>
      <c r="D28" s="42" t="n"/>
      <c r="E28" s="43" t="n"/>
      <c r="F28" s="43" t="n"/>
      <c r="G28" s="43" t="n"/>
      <c r="H28" s="44" t="n"/>
      <c r="I28" s="43" t="n"/>
      <c r="J28" s="43" t="n"/>
      <c r="K28" s="43" t="n"/>
      <c r="L28" s="44" t="n"/>
      <c r="M28" s="43" t="n"/>
      <c r="N28" s="43" t="n"/>
      <c r="O28" s="45" t="n"/>
      <c r="P28" s="15">
        <f>I28/$I$44</f>
        <v/>
      </c>
      <c r="Q28" s="15">
        <f>J28/$J$44</f>
        <v/>
      </c>
      <c r="R28" s="15">
        <f>M28/$M$44</f>
        <v/>
      </c>
      <c r="S28" s="15">
        <f>N28/$N$44</f>
        <v/>
      </c>
      <c r="T28" s="15">
        <f>IF((I28-M28)/D28&lt;0,0*(I28-M28)/D28,(I28-M28)/D28)</f>
        <v/>
      </c>
      <c r="U28" s="15" t="n"/>
      <c r="V28" s="31">
        <f>IF(K28&gt;0,AVERAGE(K28,O28)," ")</f>
        <v/>
      </c>
      <c r="W28" s="3" t="n"/>
      <c r="X28" s="3" t="n"/>
      <c r="Y28" s="3" t="n"/>
      <c r="Z28" s="3" t="n"/>
      <c r="AA28" s="63" t="n"/>
      <c r="AB28" s="63" t="inlineStr">
        <is>
          <t xml:space="preserve">PPG when scored first  </t>
        </is>
      </c>
      <c r="AC28" s="63" t="inlineStr">
        <is>
          <t xml:space="preserve"> </t>
        </is>
      </c>
      <c r="AD28" s="17" t="n">
        <v>3</v>
      </c>
      <c r="AE28" s="63" t="n"/>
      <c r="AF28" s="63" t="n">
        <v>2.23</v>
      </c>
      <c r="AG28" s="63" t="n"/>
      <c r="AH28" s="63" t="n"/>
      <c r="AI28" s="63" t="n"/>
      <c r="AJ28" s="63" t="n"/>
      <c r="AK28" s="63" t="n"/>
      <c r="AL28" s="63" t="n"/>
      <c r="AM28" s="63" t="n"/>
      <c r="AN28" s="18" t="n"/>
      <c r="AO28" s="18" t="n"/>
    </row>
    <row r="29" hidden="1" ht="30.65" customHeight="1" s="276">
      <c r="A29" s="4" t="n"/>
      <c r="B29" s="4" t="n"/>
      <c r="C29" s="47" t="n"/>
      <c r="D29" s="42" t="n"/>
      <c r="E29" s="43" t="n"/>
      <c r="F29" s="43" t="n"/>
      <c r="G29" s="43" t="n"/>
      <c r="H29" s="44" t="n"/>
      <c r="I29" s="43" t="n"/>
      <c r="J29" s="43" t="n"/>
      <c r="K29" s="43" t="n"/>
      <c r="L29" s="44" t="n"/>
      <c r="M29" s="43" t="n"/>
      <c r="N29" s="43" t="n"/>
      <c r="O29" s="45" t="n"/>
      <c r="P29" s="23">
        <f>I29/$I$44</f>
        <v/>
      </c>
      <c r="Q29" s="23">
        <f>J29/$J$44</f>
        <v/>
      </c>
      <c r="R29" s="23">
        <f>M29/$M$44</f>
        <v/>
      </c>
      <c r="S29" s="23">
        <f>N29/$N$44</f>
        <v/>
      </c>
      <c r="T29" s="23">
        <f>IF((I29-M29)/D29&lt;0,0*(I29-M29)/D29,(I29-M29)/D29)</f>
        <v/>
      </c>
      <c r="U29" s="23" t="n"/>
      <c r="V29" s="38">
        <f>IF(K29&gt;0,AVERAGE(K29,O29)," ")</f>
        <v/>
      </c>
      <c r="W29" s="7" t="n"/>
      <c r="X29" s="7" t="n"/>
      <c r="Y29" s="7" t="n"/>
      <c r="Z29" s="7" t="n"/>
      <c r="AA29" s="4" t="n"/>
      <c r="AB29" s="4" t="inlineStr">
        <is>
          <t xml:space="preserve">PPG when conceded first  </t>
        </is>
      </c>
      <c r="AC29" s="4" t="inlineStr">
        <is>
          <t xml:space="preserve"> </t>
        </is>
      </c>
      <c r="AD29" s="39" t="n">
        <v>1.5</v>
      </c>
      <c r="AE29" s="4" t="n"/>
      <c r="AF29" s="39" t="n">
        <v>0.8</v>
      </c>
      <c r="AG29" s="4" t="n"/>
      <c r="AH29" s="4" t="n"/>
      <c r="AI29" s="4" t="n"/>
      <c r="AJ29" s="4" t="n"/>
      <c r="AK29" s="4" t="n"/>
      <c r="AL29" s="4" t="n"/>
      <c r="AM29" s="4" t="n"/>
      <c r="AN29" s="18" t="n"/>
      <c r="AO29" s="18" t="n"/>
    </row>
    <row r="30" hidden="1" ht="77.5" customHeight="1" s="276">
      <c r="A30" s="63" t="n"/>
      <c r="B30" s="63" t="n"/>
      <c r="C30" s="47" t="n"/>
      <c r="D30" s="42" t="n"/>
      <c r="E30" s="43" t="n"/>
      <c r="F30" s="43" t="n"/>
      <c r="G30" s="43" t="n"/>
      <c r="H30" s="44" t="n"/>
      <c r="I30" s="43" t="n"/>
      <c r="J30" s="43" t="n"/>
      <c r="K30" s="43" t="n"/>
      <c r="L30" s="44" t="n"/>
      <c r="M30" s="43" t="n"/>
      <c r="N30" s="43" t="n"/>
      <c r="O30" s="45" t="n"/>
      <c r="P30" s="15">
        <f>I30/$I$44</f>
        <v/>
      </c>
      <c r="Q30" s="15">
        <f>J30/$J$44</f>
        <v/>
      </c>
      <c r="R30" s="15">
        <f>M30/$M$44</f>
        <v/>
      </c>
      <c r="S30" s="15">
        <f>N30/$N$44</f>
        <v/>
      </c>
      <c r="T30" s="15">
        <f>IF((I30-M30)/D30&lt;0,0*(I30-M30)/D30,(I30-M30)/D30)</f>
        <v/>
      </c>
      <c r="U30" s="15" t="n"/>
      <c r="V30" s="31">
        <f>IF(K30&gt;0,AVERAGE(K30,O30)," ")</f>
        <v/>
      </c>
      <c r="W30" s="3" t="n"/>
      <c r="X30" s="3" t="n"/>
      <c r="Y30" s="3" t="n"/>
      <c r="Z30" s="3" t="n"/>
      <c r="AA30" s="63" t="n"/>
      <c r="AB30" s="63" t="n"/>
      <c r="AC30" s="63" t="n"/>
      <c r="AD30" s="63" t="n"/>
      <c r="AE30" s="63" t="n"/>
      <c r="AF30" s="63" t="n"/>
      <c r="AG30" s="63" t="n"/>
      <c r="AH30" s="63" t="n"/>
      <c r="AI30" s="63" t="n"/>
      <c r="AJ30" s="63" t="n"/>
      <c r="AK30" s="63" t="n"/>
      <c r="AL30" s="63" t="n"/>
      <c r="AM30" s="63" t="n"/>
      <c r="AN30" s="18" t="n"/>
      <c r="AO30" s="18" t="n"/>
    </row>
    <row r="31" hidden="1" ht="67.3" customHeight="1" s="276">
      <c r="A31" s="4" t="n"/>
      <c r="B31" s="4" t="n"/>
      <c r="C31" s="47" t="n"/>
      <c r="D31" s="42" t="n"/>
      <c r="E31" s="43" t="n"/>
      <c r="F31" s="43" t="n"/>
      <c r="G31" s="43" t="n"/>
      <c r="H31" s="44" t="n"/>
      <c r="I31" s="43" t="n"/>
      <c r="J31" s="43" t="n"/>
      <c r="K31" s="43" t="n"/>
      <c r="L31" s="44" t="n"/>
      <c r="M31" s="43" t="n"/>
      <c r="N31" s="43" t="n"/>
      <c r="O31" s="45" t="n"/>
      <c r="P31" s="23">
        <f>I31/$I$44</f>
        <v/>
      </c>
      <c r="Q31" s="23">
        <f>J31/$J$44</f>
        <v/>
      </c>
      <c r="R31" s="23">
        <f>M31/$M$44</f>
        <v/>
      </c>
      <c r="S31" s="23">
        <f>N31/$N$44</f>
        <v/>
      </c>
      <c r="T31" s="23">
        <f>IF((I31-M31)/D31&lt;0,0*(I31-M31)/D31,(I31-M31)/D31)</f>
        <v/>
      </c>
      <c r="U31" s="23" t="n"/>
      <c r="V31" s="38">
        <f>IF(K31&gt;0,AVERAGE(K31,O31)," ")</f>
        <v/>
      </c>
      <c r="W31" s="7" t="n"/>
      <c r="X31" s="7" t="n"/>
      <c r="Y31" s="7" t="n"/>
      <c r="Z31" s="7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18" t="n"/>
      <c r="AO31" s="18" t="n"/>
    </row>
    <row r="32" hidden="1" ht="51.65" customHeight="1" s="276">
      <c r="A32" s="63" t="n"/>
      <c r="B32" s="63" t="n"/>
      <c r="C32" s="47" t="n"/>
      <c r="D32" s="42" t="n"/>
      <c r="E32" s="43" t="n"/>
      <c r="F32" s="43" t="n"/>
      <c r="G32" s="43" t="n"/>
      <c r="H32" s="44" t="n"/>
      <c r="I32" s="43" t="n"/>
      <c r="J32" s="43" t="n"/>
      <c r="K32" s="43" t="n"/>
      <c r="L32" s="44" t="n"/>
      <c r="M32" s="43" t="n"/>
      <c r="N32" s="43" t="n"/>
      <c r="O32" s="45" t="n"/>
      <c r="P32" s="15">
        <f>I32/$I$44</f>
        <v/>
      </c>
      <c r="Q32" s="15">
        <f>J32/$J$44</f>
        <v/>
      </c>
      <c r="R32" s="15">
        <f>M32/$M$44</f>
        <v/>
      </c>
      <c r="S32" s="15">
        <f>N32/$N$44</f>
        <v/>
      </c>
      <c r="T32" s="15">
        <f>IF((I32-M32)/D32&lt;0,0*(I32-M32)/D32,(I32-M32)/D32)</f>
        <v/>
      </c>
      <c r="U32" s="15" t="n"/>
      <c r="V32" s="31">
        <f>IF(K32&gt;0,AVERAGE(K32,O32)," ")</f>
        <v/>
      </c>
      <c r="W32" s="3" t="n"/>
      <c r="X32" s="3" t="n"/>
      <c r="Y32" s="3" t="n"/>
      <c r="Z32" s="3" t="n"/>
      <c r="AA32" s="63" t="n"/>
      <c r="AB32" s="63" t="n"/>
      <c r="AC32" s="63" t="n"/>
      <c r="AD32" s="63" t="n"/>
      <c r="AE32" s="63" t="n"/>
      <c r="AF32" s="63" t="n"/>
      <c r="AG32" s="63" t="n"/>
      <c r="AH32" s="63" t="n"/>
      <c r="AI32" s="63" t="n"/>
      <c r="AJ32" s="63" t="n"/>
      <c r="AK32" s="63" t="n"/>
      <c r="AL32" s="63" t="n"/>
      <c r="AM32" s="63" t="n"/>
      <c r="AN32" s="18" t="n"/>
      <c r="AO32" s="18" t="n"/>
    </row>
    <row r="33" hidden="1" ht="34.45" customHeight="1" s="276">
      <c r="A33" s="4" t="n"/>
      <c r="B33" s="4" t="n"/>
      <c r="C33" s="47" t="n"/>
      <c r="D33" s="42" t="n"/>
      <c r="E33" s="43" t="n"/>
      <c r="F33" s="43" t="n"/>
      <c r="G33" s="43" t="n"/>
      <c r="H33" s="44" t="n"/>
      <c r="I33" s="43" t="n"/>
      <c r="J33" s="43" t="n"/>
      <c r="K33" s="43" t="n"/>
      <c r="L33" s="44" t="n"/>
      <c r="M33" s="43" t="n"/>
      <c r="N33" s="43" t="n"/>
      <c r="O33" s="45" t="n"/>
      <c r="P33" s="23">
        <f>I33/$I$44</f>
        <v/>
      </c>
      <c r="Q33" s="23">
        <f>J33/$J$44</f>
        <v/>
      </c>
      <c r="R33" s="23">
        <f>M33/$M$44</f>
        <v/>
      </c>
      <c r="S33" s="23">
        <f>N33/$N$44</f>
        <v/>
      </c>
      <c r="T33" s="23">
        <f>IF((I33-M33)/D33&lt;0,0*(I33-M33)/D33,(I33-M33)/D33)</f>
        <v/>
      </c>
      <c r="U33" s="23" t="n"/>
      <c r="V33" s="38">
        <f>IF(K33&gt;0,AVERAGE(K33,O33)," ")</f>
        <v/>
      </c>
      <c r="W33" s="7" t="n"/>
      <c r="X33" s="7" t="n"/>
      <c r="Y33" s="7" t="n"/>
      <c r="Z33" s="7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18" t="n"/>
      <c r="AO33" s="18" t="n"/>
    </row>
    <row r="34" hidden="1" ht="51.1" customHeight="1" s="276">
      <c r="A34" s="63" t="n"/>
      <c r="B34" s="63" t="n"/>
      <c r="C34" s="47" t="n"/>
      <c r="D34" s="42" t="n"/>
      <c r="E34" s="43" t="n"/>
      <c r="F34" s="43" t="n"/>
      <c r="G34" s="43" t="n"/>
      <c r="H34" s="44" t="n"/>
      <c r="I34" s="43" t="n"/>
      <c r="J34" s="43" t="n"/>
      <c r="K34" s="43" t="n"/>
      <c r="L34" s="44" t="n"/>
      <c r="M34" s="43" t="n"/>
      <c r="N34" s="43" t="n"/>
      <c r="O34" s="45" t="n"/>
      <c r="P34" s="15">
        <f>I34/$I$44</f>
        <v/>
      </c>
      <c r="Q34" s="15">
        <f>J34/$J$44</f>
        <v/>
      </c>
      <c r="R34" s="15">
        <f>M34/$M$44</f>
        <v/>
      </c>
      <c r="S34" s="15">
        <f>N34/$N$44</f>
        <v/>
      </c>
      <c r="T34" s="15">
        <f>IF((I34-M34)/D34&lt;0,0*(I34-M34)/D34,(I34-M34)/D34)</f>
        <v/>
      </c>
      <c r="U34" s="15" t="n"/>
      <c r="V34" s="31">
        <f>IF(K34&gt;0,AVERAGE(K34,O34)," ")</f>
        <v/>
      </c>
      <c r="W34" s="3" t="n"/>
      <c r="X34" s="3" t="n"/>
      <c r="Y34" s="3" t="n"/>
      <c r="Z34" s="3" t="n"/>
      <c r="AA34" s="63" t="n"/>
      <c r="AB34" s="63" t="n"/>
      <c r="AC34" s="63" t="n"/>
      <c r="AD34" s="63" t="n"/>
      <c r="AE34" s="63" t="n"/>
      <c r="AF34" s="63" t="n"/>
      <c r="AG34" s="63" t="n"/>
      <c r="AH34" s="63" t="n"/>
      <c r="AI34" s="63" t="n"/>
      <c r="AJ34" s="63" t="n"/>
      <c r="AK34" s="63" t="n"/>
      <c r="AL34" s="63" t="n"/>
      <c r="AM34" s="63" t="n"/>
      <c r="AN34" s="18" t="n"/>
      <c r="AO34" s="18" t="n"/>
    </row>
    <row r="35" hidden="1" ht="51.65" customHeight="1" s="276">
      <c r="A35" s="4" t="n"/>
      <c r="B35" s="4" t="n"/>
      <c r="C35" s="47" t="n"/>
      <c r="D35" s="42" t="n"/>
      <c r="E35" s="43" t="n"/>
      <c r="F35" s="43" t="n"/>
      <c r="G35" s="43" t="n"/>
      <c r="H35" s="44" t="n"/>
      <c r="I35" s="43" t="n"/>
      <c r="J35" s="43" t="n"/>
      <c r="K35" s="43" t="n"/>
      <c r="L35" s="44" t="n"/>
      <c r="M35" s="43" t="n"/>
      <c r="N35" s="43" t="n"/>
      <c r="O35" s="45" t="n"/>
      <c r="P35" s="23">
        <f>I35/$I$44</f>
        <v/>
      </c>
      <c r="Q35" s="23">
        <f>J35/$J$44</f>
        <v/>
      </c>
      <c r="R35" s="23">
        <f>M35/$M$44</f>
        <v/>
      </c>
      <c r="S35" s="23">
        <f>N35/$N$44</f>
        <v/>
      </c>
      <c r="T35" s="23">
        <f>IF((I35-M35)/D35&lt;0,0*(I35-M35)/D35,(I35-M35)/D35)</f>
        <v/>
      </c>
      <c r="U35" s="23" t="n"/>
      <c r="V35" s="38">
        <f>IF(K35&gt;0,AVERAGE(K35,O35)," ")</f>
        <v/>
      </c>
      <c r="W35" s="7" t="n"/>
      <c r="X35" s="7" t="n"/>
      <c r="Y35" s="7" t="n"/>
      <c r="Z35" s="7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18" t="n"/>
      <c r="AO35" s="18" t="n"/>
    </row>
    <row r="36" hidden="1" ht="73.2" customHeight="1" s="276">
      <c r="A36" s="63" t="n"/>
      <c r="B36" s="63" t="n"/>
      <c r="C36" s="48" t="n"/>
      <c r="D36" s="49" t="n"/>
      <c r="E36" s="50" t="n"/>
      <c r="F36" s="50" t="n"/>
      <c r="G36" s="50" t="n"/>
      <c r="H36" s="51" t="n"/>
      <c r="I36" s="50" t="n"/>
      <c r="J36" s="50" t="n"/>
      <c r="K36" s="50" t="n"/>
      <c r="L36" s="51" t="n"/>
      <c r="M36" s="50" t="n"/>
      <c r="N36" s="50" t="n"/>
      <c r="O36" s="52" t="n"/>
      <c r="P36" s="15">
        <f>I36/$I$44</f>
        <v/>
      </c>
      <c r="Q36" s="15">
        <f>J36/$J$44</f>
        <v/>
      </c>
      <c r="R36" s="15">
        <f>M36/$M$44</f>
        <v/>
      </c>
      <c r="S36" s="15">
        <f>N36/$N$44</f>
        <v/>
      </c>
      <c r="T36" s="15">
        <f>IF((I36-M36)/D36&lt;0,0*(I36-M36)/D36,(I36-M36)/D36)</f>
        <v/>
      </c>
      <c r="U36" s="15" t="n"/>
      <c r="V36" s="3">
        <f>IF(K36&gt;0,AVERAGE(K36,O36)," ")</f>
        <v/>
      </c>
      <c r="W36" s="3" t="n"/>
      <c r="X36" s="3" t="n"/>
      <c r="Y36" s="3" t="n"/>
      <c r="Z36" s="3" t="n"/>
      <c r="AA36" s="63" t="n"/>
      <c r="AB36" s="63" t="n"/>
      <c r="AC36" s="63" t="n"/>
      <c r="AD36" s="63" t="n"/>
      <c r="AE36" s="63" t="n"/>
      <c r="AF36" s="63" t="n"/>
      <c r="AG36" s="63" t="n"/>
      <c r="AH36" s="63" t="n"/>
      <c r="AI36" s="63" t="n"/>
      <c r="AJ36" s="63" t="n"/>
      <c r="AK36" s="63" t="n"/>
      <c r="AL36" s="63" t="n"/>
      <c r="AM36" s="63" t="n"/>
      <c r="AN36" s="18" t="n"/>
      <c r="AO36" s="18" t="n"/>
    </row>
    <row r="37" hidden="1" ht="55.95" customHeight="1" s="276">
      <c r="A37" s="4" t="n"/>
      <c r="B37" s="4" t="n"/>
      <c r="C37" s="48" t="n"/>
      <c r="D37" s="49" t="n"/>
      <c r="E37" s="50" t="n"/>
      <c r="F37" s="50" t="n"/>
      <c r="G37" s="50" t="n"/>
      <c r="H37" s="51" t="n"/>
      <c r="I37" s="50" t="n"/>
      <c r="J37" s="50" t="n"/>
      <c r="K37" s="50" t="n"/>
      <c r="L37" s="51" t="n"/>
      <c r="M37" s="50" t="n"/>
      <c r="N37" s="50" t="n"/>
      <c r="O37" s="52" t="n"/>
      <c r="P37" s="23">
        <f>I37/$I$44</f>
        <v/>
      </c>
      <c r="Q37" s="23">
        <f>J37/$J$44</f>
        <v/>
      </c>
      <c r="R37" s="23">
        <f>M37/$M$44</f>
        <v/>
      </c>
      <c r="S37" s="23">
        <f>N37/$N$44</f>
        <v/>
      </c>
      <c r="T37" s="23">
        <f>IF((I37-M37)/D37&lt;0,0*(I37-M37)/D37,(I37-M37)/D37)</f>
        <v/>
      </c>
      <c r="U37" s="23" t="n"/>
      <c r="V37" s="7">
        <f>IF(K37&gt;0,AVERAGE(K37,O37)," ")</f>
        <v/>
      </c>
      <c r="W37" s="7" t="n"/>
      <c r="X37" s="7" t="n"/>
      <c r="Y37" s="7" t="n"/>
      <c r="Z37" s="7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18" t="n"/>
      <c r="AO37" s="18" t="n"/>
    </row>
    <row r="38" hidden="1" ht="78.05" customHeight="1" s="276">
      <c r="A38" s="63" t="n"/>
      <c r="B38" s="63" t="n"/>
      <c r="C38" s="48" t="n"/>
      <c r="D38" s="49" t="n"/>
      <c r="E38" s="50" t="n"/>
      <c r="F38" s="50" t="n"/>
      <c r="G38" s="50" t="n"/>
      <c r="H38" s="51" t="n"/>
      <c r="I38" s="50" t="n"/>
      <c r="J38" s="50" t="n"/>
      <c r="K38" s="50" t="n"/>
      <c r="L38" s="51" t="n"/>
      <c r="M38" s="50" t="n"/>
      <c r="N38" s="50" t="n"/>
      <c r="O38" s="52" t="n"/>
      <c r="P38" s="15">
        <f>I38/$I$44</f>
        <v/>
      </c>
      <c r="Q38" s="15">
        <f>J38/$J$44</f>
        <v/>
      </c>
      <c r="R38" s="15">
        <f>M38/$M$44</f>
        <v/>
      </c>
      <c r="S38" s="15">
        <f>N38/$N$44</f>
        <v/>
      </c>
      <c r="T38" s="15">
        <f>IF((I38-M38)/D38&lt;0,0*(I38-M38)/D38,(I38-M38)/D38)</f>
        <v/>
      </c>
      <c r="U38" s="15" t="n"/>
      <c r="V38" s="3">
        <f>IF(K38&gt;0,AVERAGE(K38,O38)," ")</f>
        <v/>
      </c>
      <c r="W38" s="3" t="n"/>
      <c r="X38" s="3" t="n"/>
      <c r="Y38" s="3" t="n"/>
      <c r="Z38" s="3" t="n"/>
      <c r="AA38" s="63" t="n"/>
      <c r="AB38" s="63" t="n"/>
      <c r="AC38" s="63" t="n"/>
      <c r="AD38" s="63" t="n"/>
      <c r="AE38" s="63" t="n"/>
      <c r="AF38" s="63" t="n"/>
      <c r="AG38" s="63" t="n"/>
      <c r="AH38" s="63" t="n"/>
      <c r="AI38" s="63" t="n"/>
      <c r="AJ38" s="63" t="n"/>
      <c r="AK38" s="63" t="n"/>
      <c r="AL38" s="63" t="n"/>
      <c r="AM38" s="63" t="n"/>
      <c r="AN38" s="18" t="n"/>
      <c r="AO38" s="18" t="n"/>
    </row>
    <row r="39" hidden="1" ht="69.95" customHeight="1" s="276">
      <c r="A39" s="4" t="n"/>
      <c r="B39" s="4" t="n"/>
      <c r="C39" s="48" t="n"/>
      <c r="D39" s="49" t="n"/>
      <c r="E39" s="50" t="n"/>
      <c r="F39" s="50" t="n"/>
      <c r="G39" s="50" t="n"/>
      <c r="H39" s="51" t="n"/>
      <c r="I39" s="50" t="n"/>
      <c r="J39" s="50" t="n"/>
      <c r="K39" s="50" t="n"/>
      <c r="L39" s="51" t="n"/>
      <c r="M39" s="50" t="n"/>
      <c r="N39" s="50" t="n"/>
      <c r="O39" s="52" t="n"/>
      <c r="P39" s="23">
        <f>I39/$I$44</f>
        <v/>
      </c>
      <c r="Q39" s="23">
        <f>J39/$J$44</f>
        <v/>
      </c>
      <c r="R39" s="23">
        <f>M39/$M$44</f>
        <v/>
      </c>
      <c r="S39" s="23">
        <f>N39/$N$44</f>
        <v/>
      </c>
      <c r="T39" s="23">
        <f>IF((I39-M39)/D39&lt;0,0*(I39-M39)/D39,(I39-M39)/D39)</f>
        <v/>
      </c>
      <c r="U39" s="23" t="n"/>
      <c r="V39" s="7">
        <f>IF(K39&gt;0,AVERAGE(K39,O39)," ")</f>
        <v/>
      </c>
      <c r="W39" s="7" t="n"/>
      <c r="X39" s="7" t="n"/>
      <c r="Y39" s="7" t="n"/>
      <c r="Z39" s="7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8" t="n"/>
      <c r="AO39" s="18" t="n"/>
    </row>
    <row r="40" hidden="1" ht="61.35" customHeight="1" s="276">
      <c r="A40" s="63" t="n"/>
      <c r="B40" s="63" t="n"/>
      <c r="C40" s="48" t="n"/>
      <c r="D40" s="49" t="n"/>
      <c r="E40" s="50" t="n"/>
      <c r="F40" s="50" t="n"/>
      <c r="G40" s="50" t="n"/>
      <c r="H40" s="51" t="n"/>
      <c r="I40" s="50" t="n"/>
      <c r="J40" s="50" t="n"/>
      <c r="K40" s="50" t="n"/>
      <c r="L40" s="51" t="n"/>
      <c r="M40" s="50" t="n"/>
      <c r="N40" s="50" t="n"/>
      <c r="O40" s="52" t="n"/>
      <c r="P40" s="15">
        <f>I40/$I$44</f>
        <v/>
      </c>
      <c r="Q40" s="15">
        <f>J40/$J$44</f>
        <v/>
      </c>
      <c r="R40" s="15">
        <f>M40/$M$44</f>
        <v/>
      </c>
      <c r="S40" s="15">
        <f>N40/$N$44</f>
        <v/>
      </c>
      <c r="T40" s="15">
        <f>IF((I40-M40)/D40&lt;0,0*(I40-M40)/D40,(I40-M40)/D40)</f>
        <v/>
      </c>
      <c r="U40" s="15" t="n"/>
      <c r="V40" s="3">
        <f>IF(K40&gt;0,AVERAGE(K40,O40)," ")</f>
        <v/>
      </c>
      <c r="W40" s="3" t="n"/>
      <c r="X40" s="3" t="n"/>
      <c r="Y40" s="3" t="n"/>
      <c r="Z40" s="3" t="n"/>
      <c r="AA40" s="63" t="n"/>
      <c r="AB40" s="63" t="n"/>
      <c r="AC40" s="63" t="n"/>
      <c r="AD40" s="63" t="n"/>
      <c r="AE40" s="63" t="n"/>
      <c r="AF40" s="63" t="n"/>
      <c r="AG40" s="63" t="n"/>
      <c r="AH40" s="63" t="n"/>
      <c r="AI40" s="63" t="n"/>
      <c r="AJ40" s="63" t="n"/>
      <c r="AK40" s="63" t="n"/>
      <c r="AL40" s="63" t="n"/>
      <c r="AM40" s="63" t="n"/>
      <c r="AN40" s="18" t="n"/>
      <c r="AO40" s="18" t="n"/>
    </row>
    <row r="41" hidden="1" ht="62.95" customHeight="1" s="276">
      <c r="A41" s="4" t="n"/>
      <c r="B41" s="4" t="n"/>
      <c r="C41" s="48" t="n"/>
      <c r="D41" s="49" t="n"/>
      <c r="E41" s="50" t="n"/>
      <c r="F41" s="50" t="n"/>
      <c r="G41" s="50" t="n"/>
      <c r="H41" s="51" t="n"/>
      <c r="I41" s="50" t="n"/>
      <c r="J41" s="50" t="n"/>
      <c r="K41" s="50" t="n"/>
      <c r="L41" s="51" t="n"/>
      <c r="M41" s="50" t="n"/>
      <c r="N41" s="50" t="n"/>
      <c r="O41" s="52" t="n"/>
      <c r="P41" s="23">
        <f>I41/$I$44</f>
        <v/>
      </c>
      <c r="Q41" s="23">
        <f>J41/$J$44</f>
        <v/>
      </c>
      <c r="R41" s="23">
        <f>M41/$M$44</f>
        <v/>
      </c>
      <c r="S41" s="23">
        <f>N41/$N$44</f>
        <v/>
      </c>
      <c r="T41" s="23">
        <f>IF((I41-M41)/D41&lt;0,0*(I41-M41)/D41,(I41-M41)/D41)</f>
        <v/>
      </c>
      <c r="U41" s="23" t="n"/>
      <c r="V41" s="7">
        <f>IF(K41&gt;0,AVERAGE(K41,O41)," ")</f>
        <v/>
      </c>
      <c r="W41" s="7" t="n"/>
      <c r="X41" s="7" t="n"/>
      <c r="Y41" s="7" t="n"/>
      <c r="Z41" s="7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18" t="n"/>
      <c r="AO41" s="18" t="n"/>
    </row>
    <row r="42" hidden="1" ht="46.3" customHeight="1" s="276">
      <c r="A42" s="63" t="n"/>
      <c r="B42" s="63" t="n"/>
      <c r="C42" s="48" t="n"/>
      <c r="D42" s="49" t="n"/>
      <c r="E42" s="50" t="n"/>
      <c r="F42" s="50" t="n"/>
      <c r="G42" s="50" t="n"/>
      <c r="H42" s="51" t="n"/>
      <c r="I42" s="50" t="n"/>
      <c r="J42" s="50" t="n"/>
      <c r="K42" s="50" t="n"/>
      <c r="L42" s="51" t="n"/>
      <c r="M42" s="50" t="n"/>
      <c r="N42" s="50" t="n"/>
      <c r="O42" s="52" t="n"/>
      <c r="P42" s="15">
        <f>I42/$I$44</f>
        <v/>
      </c>
      <c r="Q42" s="15">
        <f>J42/$J$44</f>
        <v/>
      </c>
      <c r="R42" s="15">
        <f>M42/$M$44</f>
        <v/>
      </c>
      <c r="S42" s="15">
        <f>N42/$N$44</f>
        <v/>
      </c>
      <c r="T42" s="15">
        <f>IF((I42-M42)/D42&lt;0,0*(I42-M42)/D42,(I42-M42)/D42)</f>
        <v/>
      </c>
      <c r="U42" s="15" t="n"/>
      <c r="V42" s="3">
        <f>IF(K42&gt;0,AVERAGE(K42,O42)," ")</f>
        <v/>
      </c>
      <c r="W42" s="3" t="n"/>
      <c r="X42" s="3" t="n"/>
      <c r="Y42" s="3" t="n"/>
      <c r="Z42" s="3" t="n"/>
      <c r="AA42" s="63" t="n"/>
      <c r="AB42" s="63" t="n"/>
      <c r="AC42" s="63" t="n"/>
      <c r="AD42" s="63" t="n"/>
      <c r="AE42" s="63" t="n"/>
      <c r="AF42" s="63" t="n"/>
      <c r="AG42" s="63" t="n"/>
      <c r="AH42" s="63" t="n"/>
      <c r="AI42" s="63" t="n"/>
      <c r="AJ42" s="63" t="n"/>
      <c r="AK42" s="63" t="n"/>
      <c r="AL42" s="63" t="n"/>
      <c r="AM42" s="63" t="n"/>
      <c r="AN42" s="18" t="n"/>
      <c r="AO42" s="18" t="n"/>
    </row>
    <row r="43" ht="31.5" customHeight="1" s="276">
      <c r="A43" s="53">
        <f>_xlfn.TEXTJOIN("/ ", ,R88,Q88,Q86,P88,R93,T88,Sheet2!F40)</f>
        <v/>
      </c>
      <c r="B43" s="4">
        <f>_xlfn.TEXTJOIN("/ ", ,_xlfn.IFERROR(O89,""),_xlfn.IFERROR(O90,""))</f>
        <v/>
      </c>
      <c r="C43" s="278" t="n"/>
      <c r="D43" s="279" t="n"/>
      <c r="E43" s="279" t="n"/>
      <c r="F43" s="279" t="n"/>
      <c r="G43" s="279" t="n"/>
      <c r="H43" s="279" t="n"/>
      <c r="I43" s="279" t="n"/>
      <c r="J43" s="279" t="n"/>
      <c r="K43" s="279" t="n"/>
      <c r="L43" s="279" t="n"/>
      <c r="M43" s="279" t="n"/>
      <c r="N43" s="279" t="n"/>
      <c r="O43" s="280" t="n"/>
      <c r="P43" s="5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18" t="n"/>
      <c r="AO43" s="18" t="n"/>
    </row>
    <row r="44" ht="1.5" customHeight="1" s="276">
      <c r="A44" s="58" t="n"/>
      <c r="B44" s="63" t="n"/>
      <c r="C44" s="15">
        <f>COUNT(E6:E42)</f>
        <v/>
      </c>
      <c r="D44" s="59" t="n"/>
      <c r="E44" s="60">
        <f>AVERAGE(E6:E42)</f>
        <v/>
      </c>
      <c r="F44" s="60">
        <f>AVERAGE(F6:F42)</f>
        <v/>
      </c>
      <c r="G44" s="59" t="n"/>
      <c r="H44" s="61" t="inlineStr">
        <is>
          <t>league ave</t>
        </is>
      </c>
      <c r="I44" s="60">
        <f>AVERAGE(I6:I42)</f>
        <v/>
      </c>
      <c r="J44" s="60">
        <f>AVERAGE(J6:J42)</f>
        <v/>
      </c>
      <c r="K44" s="59" t="n"/>
      <c r="L44" s="59" t="n"/>
      <c r="M44" s="60">
        <f>AVERAGE(M6:M42)</f>
        <v/>
      </c>
      <c r="N44" s="60">
        <f>AVERAGE(N6:N42)</f>
        <v/>
      </c>
      <c r="O44" s="59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63" t="n"/>
      <c r="AB44" s="63" t="n"/>
      <c r="AC44" s="63" t="n"/>
      <c r="AD44" s="63" t="n"/>
      <c r="AE44" s="63" t="n"/>
      <c r="AF44" s="63" t="n"/>
      <c r="AG44" s="63" t="n"/>
      <c r="AH44" s="63" t="n"/>
      <c r="AI44" s="63" t="n"/>
      <c r="AJ44" s="63" t="n"/>
      <c r="AK44" s="63" t="n"/>
      <c r="AL44" s="63" t="n"/>
      <c r="AM44" s="63" t="n"/>
      <c r="AN44" s="18" t="n"/>
      <c r="AO44" s="18" t="n"/>
    </row>
    <row r="45" hidden="1" ht="2.25" customHeight="1" s="276">
      <c r="A45" s="53" t="n"/>
      <c r="B45" s="4" t="n"/>
      <c r="C45" s="7" t="n"/>
      <c r="D45" s="7" t="n"/>
      <c r="E45" s="38">
        <f>AVERAGE(E44,F44)</f>
        <v/>
      </c>
      <c r="F45" s="7" t="n"/>
      <c r="G45" s="7" t="n"/>
      <c r="H45" s="7" t="n"/>
      <c r="I45" s="38">
        <f>AVERAGE(I44,J44)</f>
        <v/>
      </c>
      <c r="J45" s="7" t="n"/>
      <c r="K45" s="7" t="n"/>
      <c r="L45" s="7" t="n"/>
      <c r="M45" s="38">
        <f>AVERAGE(M44,N44)</f>
        <v/>
      </c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18" t="n"/>
      <c r="AO45" s="18" t="n"/>
    </row>
    <row r="46" ht="18.75" customHeight="1" s="276">
      <c r="A46" s="58">
        <f>_xlfn.TEXTJOIN("/ ", ,R90,Q90,Q87,P90,R94,U88,Sheet2!BE39)</f>
        <v/>
      </c>
      <c r="B46" s="62">
        <f>_xlfn.TEXTJOIN(", ", ,C114,_xlfn.IFERROR(O84,""),_xlfn.IFERROR(O85,""))</f>
        <v/>
      </c>
      <c r="C46" s="63">
        <f>_xlfn.TEXTJOIN("=", ,E62,IF(P6="","Att is empty",""))</f>
        <v/>
      </c>
      <c r="D46" s="63">
        <f>(E46/2)*E46</f>
        <v/>
      </c>
      <c r="E46" s="31">
        <f>AVERAGE(V6:V42)</f>
        <v/>
      </c>
      <c r="F46" s="3" t="n">
        <v>1</v>
      </c>
      <c r="G46" s="3">
        <f>IF(OR(E61="u2.5",E61="u2.5+",E61="u3.5"),E61,"check")</f>
        <v/>
      </c>
      <c r="H46" s="3">
        <f>IF(AND(F62="over",J62="over"),1,IF(OR(F62="over",J62="over"),2,""))</f>
        <v/>
      </c>
      <c r="I46" s="64">
        <f>_xlfn.TEXTJOIN("/ ", ,M84,S99,IF(AND($C$46="settled",$C$47="high"),"D+",""))</f>
        <v/>
      </c>
      <c r="J46" s="3">
        <f>_xlfn.TEXTJOIN(" ,", ,Sheet2!E40,2)</f>
        <v/>
      </c>
      <c r="K46" s="3">
        <f>IF(OR(I61="u2.5",I61="u2.5+",I61="u3.5"),I61,"check")</f>
        <v/>
      </c>
      <c r="L46" s="3" t="n"/>
      <c r="M46" s="65" t="n"/>
      <c r="N46" s="3" t="n">
        <v>3</v>
      </c>
      <c r="O46" s="3">
        <f>IF(OR(M61="u2.5",M61="u2.5+",M61="u3.5"),M61,"check")</f>
        <v/>
      </c>
      <c r="P46" s="3">
        <f>IF(AND(N62="over",R62="over"),1,IF(OR(N62="over",R62="over"),2,""))</f>
        <v/>
      </c>
      <c r="Q46" s="66">
        <f>_xlfn.TEXTJOIN("/ ", ,M85,S100,IF(AND($C$46="settled",$C$47="high"),"D+",""))</f>
        <v/>
      </c>
      <c r="R46" s="3">
        <f>_xlfn.TEXTJOIN(" ,", ,Sheet2!BD39,4)</f>
        <v/>
      </c>
      <c r="S46" s="3">
        <f>IF(OR(Q61="u2.5",Q61="u2.5+",Q61="u3.5"),Q61,"check")</f>
        <v/>
      </c>
      <c r="T46" s="3" t="n"/>
      <c r="U46" s="3" t="n"/>
      <c r="V46" s="3" t="n">
        <v>5</v>
      </c>
      <c r="W46" s="3">
        <f>IF(OR(U61="u2.5",U61="u2.5+",U61="u3.5"),U61,"check")</f>
        <v/>
      </c>
      <c r="X46" s="3" t="n"/>
      <c r="Y46" s="3" t="n"/>
      <c r="Z46" s="3" t="n"/>
      <c r="AA46" s="63" t="n"/>
      <c r="AB46" s="63" t="n"/>
      <c r="AC46" s="63" t="n"/>
      <c r="AD46" s="63" t="n"/>
      <c r="AE46" s="63" t="n"/>
      <c r="AF46" s="63" t="n"/>
      <c r="AG46" s="63" t="n"/>
      <c r="AH46" s="63" t="n"/>
      <c r="AI46" s="63" t="n"/>
      <c r="AJ46" s="63" t="n"/>
      <c r="AK46" s="63" t="n"/>
      <c r="AL46" s="63" t="n"/>
      <c r="AM46" s="63" t="n"/>
      <c r="AN46" s="18" t="n"/>
      <c r="AO46" s="18" t="n"/>
    </row>
    <row r="47" ht="24" customHeight="1" s="276">
      <c r="A47" s="67">
        <f>IF(Sheet2!BE39="coup","just Add 1 goal","clean")</f>
        <v/>
      </c>
      <c r="B47" s="68">
        <f>_xlfn.TEXTJOIN("/ ", ,_xlfn.IFERROR(N84,""),_xlfn.IFERROR(N85,""))</f>
        <v/>
      </c>
      <c r="C47" s="69">
        <f>H64</f>
        <v/>
      </c>
      <c r="D47" s="4">
        <f>IF($E$46-(AVERAGE(VLOOKUP(F48,$C$6:$V$42,20),VLOOKUP(G48,$C$6:$V$42,20)))&gt;-0.21,"well","not")</f>
        <v/>
      </c>
      <c r="E47" s="7">
        <f>IF(C1&gt;0,"align",IF(C1&gt;-0.16,"full",IF(C1&gt;-0.3,"partially","the goal")))</f>
        <v/>
      </c>
      <c r="F47" s="70" t="inlineStr">
        <is>
          <t xml:space="preserve">home </t>
        </is>
      </c>
      <c r="G47" s="70" t="inlineStr">
        <is>
          <t xml:space="preserve">away </t>
        </is>
      </c>
      <c r="H47" s="71">
        <f>$A$100</f>
        <v/>
      </c>
      <c r="I47" s="7">
        <f>IF(E1&gt;0,"align",IF(E1&gt;-0.16,"full",IF(E1&gt;-0.3,"partially","the goal")))</f>
        <v/>
      </c>
      <c r="J47" s="70" t="inlineStr">
        <is>
          <t xml:space="preserve">home </t>
        </is>
      </c>
      <c r="K47" s="70" t="inlineStr">
        <is>
          <t xml:space="preserve">away </t>
        </is>
      </c>
      <c r="L47" s="71">
        <f>$A$100</f>
        <v/>
      </c>
      <c r="M47" s="7">
        <f>IF(G1&gt;0,"align",IF(G1&gt;-0.16,"full",IF(G1&gt;-0.3,"partially","the goal")))</f>
        <v/>
      </c>
      <c r="N47" s="70" t="inlineStr">
        <is>
          <t xml:space="preserve">home </t>
        </is>
      </c>
      <c r="O47" s="70" t="inlineStr">
        <is>
          <t xml:space="preserve">away </t>
        </is>
      </c>
      <c r="P47" s="71">
        <f>$A$100</f>
        <v/>
      </c>
      <c r="Q47" s="7">
        <f>IF(I1&gt;0,"align",IF(I1&gt;-0.16,"full",IF(I1&gt;-0.3,"partially","the goal")))</f>
        <v/>
      </c>
      <c r="R47" s="70" t="inlineStr">
        <is>
          <t xml:space="preserve">home </t>
        </is>
      </c>
      <c r="S47" s="70" t="inlineStr">
        <is>
          <t xml:space="preserve">away </t>
        </is>
      </c>
      <c r="T47" s="71">
        <f>$A$100</f>
        <v/>
      </c>
      <c r="U47" s="7">
        <f>IF(K1&gt;0,"align",IF(K1&gt;-0.16,"full",IF(K1&gt;-0.3,"partially","the goal")))</f>
        <v/>
      </c>
      <c r="V47" s="70" t="inlineStr">
        <is>
          <t xml:space="preserve">home </t>
        </is>
      </c>
      <c r="W47" s="70" t="inlineStr">
        <is>
          <t xml:space="preserve">away </t>
        </is>
      </c>
      <c r="X47" s="7" t="n"/>
      <c r="Y47" s="7" t="n"/>
      <c r="Z47" s="7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18" t="n"/>
      <c r="AO47" s="18" t="n"/>
    </row>
    <row r="48" ht="19.5" customHeight="1" s="276">
      <c r="A48" s="72">
        <f>IF(OR(Sheet2!W26&gt;1,T88="not",U88="not",P88="both",P89="both",Sheet2!Y25="D'over",Sheet2!AX25="D'over",Sheet2!BW25="D'over",Sheet2!CV25="D'over",O89="hold1",O90="hold2"),"",_xlfn.TEXTJOIN(" + ", ,S81,U81,W83))</f>
        <v/>
      </c>
      <c r="B48" s="73">
        <f>_xlfn.TEXTJOIN("/ ", ,_xlfn.IFERROR(V95,""),_xlfn.IFERROR(V96,""))</f>
        <v/>
      </c>
      <c r="C48" s="74">
        <f>H102</f>
        <v/>
      </c>
      <c r="D48" s="63">
        <f>IF($E$46-(AVERAGE(VLOOKUP(J48,$C$6:$V$42,20),VLOOKUP(K48,$C$6:$V$42,20)))&gt;-0.21,"well","not")</f>
        <v/>
      </c>
      <c r="E48" s="3">
        <f>IF($D46&gt;4.9,"5 goals",IF($D46&gt;4.45,"5goals",IF($D46&gt;3.45,"4goals",IF($D46&gt;2.45,"3goals","2goals or less"))))</f>
        <v/>
      </c>
      <c r="F48" s="75">
        <f>B62</f>
        <v/>
      </c>
      <c r="G48" s="76">
        <f>C62</f>
        <v/>
      </c>
      <c r="H48" s="3">
        <f>IF(OR(H75="u2.5",H76="u2.5",AND(G75="over",H75="over"),AND(G76="over",H76="over")),"faulty","good")</f>
        <v/>
      </c>
      <c r="I48" s="3">
        <f>IF($D46&gt;4.9,"5 goals",IF($D46&gt;4.45,"5goals",IF($D46&gt;3.45,"4goals",IF($D46&gt;2.45,"3goals","2goals or less"))))</f>
        <v/>
      </c>
      <c r="J48" s="75">
        <f>C62</f>
        <v/>
      </c>
      <c r="K48" s="75">
        <f>B62</f>
        <v/>
      </c>
      <c r="L48" s="3" t="n"/>
      <c r="M48" s="3">
        <f>IF($D46&gt;4.9,"5 goals",IF($D46&gt;4.45,"5goals",IF($D46&gt;3.45,"4goals",IF($D46&gt;2.45,"3goals","2goals or less"))))</f>
        <v/>
      </c>
      <c r="N48" s="75">
        <f>B63</f>
        <v/>
      </c>
      <c r="O48" s="75">
        <f>C63</f>
        <v/>
      </c>
      <c r="P48" s="3">
        <f>IF(OR($H$77="u2.5",$H$78="u2.5",AND($G$77="over",$H$77="over"),AND($G$78="over",$H$78="over")),"faulty","good")</f>
        <v/>
      </c>
      <c r="Q48" s="3">
        <f>IF($D46&gt;4.9,"5 goals",IF($D46&gt;4.45,"5goals",IF($D46&gt;3.45,"4goals",IF($D46&gt;2.45,"3goals","2goals or less"))))</f>
        <v/>
      </c>
      <c r="R48" s="75">
        <f>C63</f>
        <v/>
      </c>
      <c r="S48" s="75">
        <f>B63</f>
        <v/>
      </c>
      <c r="T48" s="3" t="n"/>
      <c r="U48" s="3">
        <f>IF($D46&gt;4.9,"5 goals",IF($D46&gt;4.45,"5goals",IF($D46&gt;3.45,"4goals",IF($D46&gt;2.45,"3goals","2goals or less"))))</f>
        <v/>
      </c>
      <c r="V48" s="75" t="inlineStr">
        <is>
          <t xml:space="preserve"> Galway Utd </t>
        </is>
      </c>
      <c r="W48" s="75" t="inlineStr">
        <is>
          <t xml:space="preserve"> Cork City </t>
        </is>
      </c>
      <c r="X48" s="3" t="n"/>
      <c r="Y48" s="3" t="n"/>
      <c r="Z48" s="3" t="n"/>
      <c r="AA48" s="63" t="n"/>
      <c r="AB48" s="63" t="n"/>
      <c r="AC48" s="63" t="n"/>
      <c r="AD48" s="63" t="n"/>
      <c r="AE48" s="63" t="n"/>
      <c r="AF48" s="63" t="n"/>
      <c r="AG48" s="63" t="n"/>
      <c r="AH48" s="63" t="n"/>
      <c r="AI48" s="63" t="n"/>
      <c r="AJ48" s="63" t="n"/>
      <c r="AK48" s="63" t="n"/>
      <c r="AL48" s="63" t="n"/>
      <c r="AM48" s="63" t="n"/>
      <c r="AN48" s="18" t="n"/>
      <c r="AO48" s="18" t="n"/>
    </row>
    <row r="49" hidden="1" ht="39" customHeight="1" s="276">
      <c r="A49" s="77">
        <f>AA93</f>
        <v/>
      </c>
      <c r="B49" s="78" t="n"/>
      <c r="C49" s="69" t="n"/>
      <c r="D49" s="4">
        <f>IF($E$46-(AVERAGE(VLOOKUP(F50,$C$6:$V$42,20),VLOOKUP(G50,$C$6:$V$42,20)))&gt;-0.21,"well","not")</f>
        <v/>
      </c>
      <c r="E49" s="7" t="inlineStr">
        <is>
          <t>attack</t>
        </is>
      </c>
      <c r="F49" s="7">
        <f>VLOOKUP($F$48,$C$4:$T$42,14,FALSE)</f>
        <v/>
      </c>
      <c r="G49" s="7">
        <f>VLOOKUP($G$48,$C$4:$T$42,16,FALSE)</f>
        <v/>
      </c>
      <c r="H49" s="7" t="n"/>
      <c r="I49" s="7" t="inlineStr">
        <is>
          <t>attack</t>
        </is>
      </c>
      <c r="J49" s="7">
        <f>VLOOKUP($J$48,$C$4:$T$42,14,FALSE)</f>
        <v/>
      </c>
      <c r="K49" s="7">
        <f>VLOOKUP($K$48,$C$4:$T$42,16,FALSE)</f>
        <v/>
      </c>
      <c r="L49" s="7" t="n"/>
      <c r="M49" s="7" t="inlineStr">
        <is>
          <t>attack</t>
        </is>
      </c>
      <c r="N49" s="7">
        <f>VLOOKUP($N$48,$C$4:$T$42,14,FALSE)</f>
        <v/>
      </c>
      <c r="O49" s="7">
        <f>VLOOKUP($O$48,$C$4:$T$42,16,FALSE)</f>
        <v/>
      </c>
      <c r="P49" s="7" t="n"/>
      <c r="Q49" s="7" t="inlineStr">
        <is>
          <t>attack</t>
        </is>
      </c>
      <c r="R49" s="7">
        <f>VLOOKUP($R$48,$C$4:$T$42,14,FALSE)</f>
        <v/>
      </c>
      <c r="S49" s="7">
        <f>VLOOKUP($S$48,$C$4:$T$42,16,FALSE)</f>
        <v/>
      </c>
      <c r="T49" s="7" t="n"/>
      <c r="U49" s="7" t="inlineStr">
        <is>
          <t>attack</t>
        </is>
      </c>
      <c r="V49" s="7">
        <f>VLOOKUP($V$48,$C$4:$T$42,14,FALSE)</f>
        <v/>
      </c>
      <c r="W49" s="7">
        <f>VLOOKUP($W$48,$C$4:$T$42,16,FALSE)</f>
        <v/>
      </c>
      <c r="X49" s="7" t="n"/>
      <c r="Y49" s="7" t="n"/>
      <c r="Z49" s="7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18" t="n"/>
      <c r="AO49" s="18" t="n"/>
    </row>
    <row r="50" hidden="1" ht="24" customHeight="1" s="276">
      <c r="A50" s="79">
        <f>AA94</f>
        <v/>
      </c>
      <c r="B50" s="80" t="n"/>
      <c r="C50" s="81" t="n"/>
      <c r="D50" s="63">
        <f>IF($E$46-(AVERAGE(VLOOKUP(F51,$C$6:$V$42,20),VLOOKUP(G51,$C$6:$V$42,20)))&gt;-0.21,"well","not")</f>
        <v/>
      </c>
      <c r="E50" s="3" t="inlineStr">
        <is>
          <t>defend</t>
        </is>
      </c>
      <c r="F50" s="3">
        <f>VLOOKUP($F$48,$C$4:$T$42,15,FALSE)</f>
        <v/>
      </c>
      <c r="G50" s="3">
        <f>VLOOKUP($G$48,$C$4:$T$42,17,FALSE)</f>
        <v/>
      </c>
      <c r="H50" s="3" t="n"/>
      <c r="I50" s="3" t="inlineStr">
        <is>
          <t>defend</t>
        </is>
      </c>
      <c r="J50" s="3">
        <f>VLOOKUP($J$48,$C$4:$T$42,15,FALSE)</f>
        <v/>
      </c>
      <c r="K50" s="3">
        <f>VLOOKUP($K$48,$C$4:$T$42,17,FALSE)</f>
        <v/>
      </c>
      <c r="L50" s="3" t="n"/>
      <c r="M50" s="3" t="inlineStr">
        <is>
          <t>defend</t>
        </is>
      </c>
      <c r="N50" s="3">
        <f>VLOOKUP($N$48,$C$4:$T$42,15,FALSE)</f>
        <v/>
      </c>
      <c r="O50" s="3">
        <f>VLOOKUP($O$48,$C$4:$T$42,17,FALSE)</f>
        <v/>
      </c>
      <c r="P50" s="3" t="n"/>
      <c r="Q50" s="3" t="inlineStr">
        <is>
          <t>defend</t>
        </is>
      </c>
      <c r="R50" s="3">
        <f>VLOOKUP(R48,$C$4:$T$42,15,FALSE)</f>
        <v/>
      </c>
      <c r="S50" s="3">
        <f>VLOOKUP(S48,$C$4:$T$42,17,FALSE)</f>
        <v/>
      </c>
      <c r="T50" s="3" t="n"/>
      <c r="U50" s="3" t="inlineStr">
        <is>
          <t>defend</t>
        </is>
      </c>
      <c r="V50" s="3">
        <f>VLOOKUP($V$48,$C$4:$T$42,15,FALSE)</f>
        <v/>
      </c>
      <c r="W50" s="3">
        <f>VLOOKUP($W$48,$C$4:$T$42,17,FALSE)</f>
        <v/>
      </c>
      <c r="X50" s="3" t="n"/>
      <c r="Y50" s="3" t="n"/>
      <c r="Z50" s="3" t="n"/>
      <c r="AA50" s="63" t="n"/>
      <c r="AB50" s="63" t="n"/>
      <c r="AC50" s="63" t="n"/>
      <c r="AD50" s="63" t="n"/>
      <c r="AE50" s="63" t="n"/>
      <c r="AF50" s="63" t="n"/>
      <c r="AG50" s="63" t="n"/>
      <c r="AH50" s="63" t="n"/>
      <c r="AI50" s="63" t="n"/>
      <c r="AJ50" s="63" t="n"/>
      <c r="AK50" s="63" t="n"/>
      <c r="AL50" s="63" t="n"/>
      <c r="AM50" s="63" t="n"/>
      <c r="AN50" s="18" t="n"/>
      <c r="AO50" s="18" t="n"/>
    </row>
    <row r="51" hidden="1" ht="22.5" customHeight="1" s="276">
      <c r="A51" s="77">
        <f>AA95</f>
        <v/>
      </c>
      <c r="B51" s="78" t="n"/>
      <c r="C51" s="69" t="n"/>
      <c r="D51" s="4">
        <f>IF($E$46-(AVERAGE(VLOOKUP(F52,$C$6:$V$42,20),VLOOKUP(G52,$C$6:$V$42,20)))&gt;-0.21,"well","not")</f>
        <v/>
      </c>
      <c r="E51" s="7" t="inlineStr">
        <is>
          <t>l.average</t>
        </is>
      </c>
      <c r="F51" s="38">
        <f>I45</f>
        <v/>
      </c>
      <c r="G51" s="38">
        <f>M45</f>
        <v/>
      </c>
      <c r="H51" s="7" t="n"/>
      <c r="I51" s="7" t="inlineStr">
        <is>
          <t>l.average</t>
        </is>
      </c>
      <c r="J51" s="38">
        <f>I45</f>
        <v/>
      </c>
      <c r="K51" s="38">
        <f>M45</f>
        <v/>
      </c>
      <c r="L51" s="7" t="n"/>
      <c r="M51" s="7" t="inlineStr">
        <is>
          <t>l.average</t>
        </is>
      </c>
      <c r="N51" s="38">
        <f>I45</f>
        <v/>
      </c>
      <c r="O51" s="38">
        <f>M45</f>
        <v/>
      </c>
      <c r="P51" s="7" t="n"/>
      <c r="Q51" s="7" t="inlineStr">
        <is>
          <t>l.average</t>
        </is>
      </c>
      <c r="R51" s="38">
        <f>I45</f>
        <v/>
      </c>
      <c r="S51" s="38">
        <f>M45</f>
        <v/>
      </c>
      <c r="T51" s="7" t="n"/>
      <c r="U51" s="7" t="inlineStr">
        <is>
          <t>l.average</t>
        </is>
      </c>
      <c r="V51" s="38">
        <f>I45</f>
        <v/>
      </c>
      <c r="W51" s="38">
        <f>M45</f>
        <v/>
      </c>
      <c r="X51" s="7" t="n"/>
      <c r="Y51" s="7" t="n"/>
      <c r="Z51" s="7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18" t="n"/>
      <c r="AO51" s="18" t="n"/>
    </row>
    <row r="52" hidden="1" ht="21" customHeight="1" s="276">
      <c r="A52" s="79">
        <f>AA96</f>
        <v/>
      </c>
      <c r="B52" s="80" t="n"/>
      <c r="C52" s="81" t="n"/>
      <c r="D52" s="63">
        <f>IF($E$46-(AVERAGE(VLOOKUP(F53,$C$6:$V$42,20),VLOOKUP(G53,$C$6:$V$42,20)))&gt;-0.21,"well","not")</f>
        <v/>
      </c>
      <c r="E52" s="3" t="inlineStr">
        <is>
          <t>g.expect</t>
        </is>
      </c>
      <c r="F52" s="3">
        <f>F51*G50*G53</f>
        <v/>
      </c>
      <c r="G52" s="3">
        <f>G51*F50*G49</f>
        <v/>
      </c>
      <c r="H52" s="3" t="n"/>
      <c r="I52" s="3" t="inlineStr">
        <is>
          <t>g.expect</t>
        </is>
      </c>
      <c r="J52" s="3">
        <f>J51*K50*K53</f>
        <v/>
      </c>
      <c r="K52" s="3">
        <f>K51*J50*K49</f>
        <v/>
      </c>
      <c r="L52" s="3" t="n"/>
      <c r="M52" s="3" t="inlineStr">
        <is>
          <t>g.expect</t>
        </is>
      </c>
      <c r="N52" s="3">
        <f>N51*O50*O53</f>
        <v/>
      </c>
      <c r="O52" s="3">
        <f>O51*N50*O49</f>
        <v/>
      </c>
      <c r="P52" s="3" t="n"/>
      <c r="Q52" s="3" t="inlineStr">
        <is>
          <t>g.expect</t>
        </is>
      </c>
      <c r="R52" s="3">
        <f>R51*S50*S53</f>
        <v/>
      </c>
      <c r="S52" s="3">
        <f>S51*R50*S49</f>
        <v/>
      </c>
      <c r="T52" s="3" t="n"/>
      <c r="U52" s="3" t="inlineStr">
        <is>
          <t>g.expect</t>
        </is>
      </c>
      <c r="V52" s="3">
        <f>V51*W50*W53</f>
        <v/>
      </c>
      <c r="W52" s="3">
        <f>W51*V50*W49</f>
        <v/>
      </c>
      <c r="X52" s="3" t="n"/>
      <c r="Y52" s="3" t="n"/>
      <c r="Z52" s="3" t="n"/>
      <c r="AA52" s="63" t="n"/>
      <c r="AB52" s="63" t="n"/>
      <c r="AC52" s="63" t="n"/>
      <c r="AD52" s="63" t="n"/>
      <c r="AE52" s="63" t="n"/>
      <c r="AF52" s="63" t="n"/>
      <c r="AG52" s="63" t="n"/>
      <c r="AH52" s="63" t="n"/>
      <c r="AI52" s="63" t="n"/>
      <c r="AJ52" s="63" t="n"/>
      <c r="AK52" s="63" t="n"/>
      <c r="AL52" s="63" t="n"/>
      <c r="AM52" s="63" t="n"/>
      <c r="AN52" s="18" t="n"/>
      <c r="AO52" s="18" t="n"/>
    </row>
    <row r="53" hidden="1" ht="32.25" customHeight="1" s="276">
      <c r="A53" s="77">
        <f>AA97</f>
        <v/>
      </c>
      <c r="B53" s="78" t="n"/>
      <c r="C53" s="69" t="n"/>
      <c r="D53" s="4">
        <f>IF($E$46-(AVERAGE(VLOOKUP(F54,$C$6:$V$42,20),VLOOKUP(G54,$C$6:$V$42,20)))&gt;-0.21,"well","not")</f>
        <v/>
      </c>
      <c r="E53" s="7" t="inlineStr">
        <is>
          <t>HA</t>
        </is>
      </c>
      <c r="F53" s="7">
        <f>VLOOKUP($F$48,$C$4:$U$42,18,FALSE)</f>
        <v/>
      </c>
      <c r="G53" s="7">
        <f>F49+F53</f>
        <v/>
      </c>
      <c r="H53" s="7" t="n"/>
      <c r="I53" s="7" t="n"/>
      <c r="J53" s="7">
        <f>VLOOKUP($J$48,$C$4:$U$42,18,FALSE)</f>
        <v/>
      </c>
      <c r="K53" s="7">
        <f>J49+J53</f>
        <v/>
      </c>
      <c r="L53" s="7" t="n"/>
      <c r="M53" s="7" t="n"/>
      <c r="N53" s="7">
        <f>VLOOKUP($N$48,$C$4:$U$42,18,FALSE)</f>
        <v/>
      </c>
      <c r="O53" s="7">
        <f>N49+N53</f>
        <v/>
      </c>
      <c r="P53" s="7" t="n"/>
      <c r="Q53" s="7" t="n"/>
      <c r="R53" s="7">
        <f>VLOOKUP($R$48,$C$4:$U$42,18,FALSE)</f>
        <v/>
      </c>
      <c r="S53" s="7">
        <f>R49+R53</f>
        <v/>
      </c>
      <c r="T53" s="7" t="n"/>
      <c r="U53" s="7" t="n"/>
      <c r="V53" s="7">
        <f>VLOOKUP($V$48,$C$4:$U$42,18,FALSE)</f>
        <v/>
      </c>
      <c r="W53" s="7">
        <f>V49+V53</f>
        <v/>
      </c>
      <c r="X53" s="7" t="n"/>
      <c r="Y53" s="7" t="n"/>
      <c r="Z53" s="7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18" t="n"/>
      <c r="AO53" s="18" t="n"/>
    </row>
    <row r="54" ht="15.75" customHeight="1" s="276">
      <c r="A54" s="79">
        <f>IF(OR(Sheet2!W26&gt;1,T88="not",U88="not",P88="both",P89="both",Sheet2!Y25="D'over",Sheet2!AX25="D'over",Sheet2!BW25="D'over",Sheet2!CV25="D'over",O89="hold1",O90="hold2"),"",_xlfn.TEXTJOIN(" + ", ,S82,U82,W84))</f>
        <v/>
      </c>
      <c r="B54" s="82">
        <f>_xlfn.TEXTJOIN("/ ", ,_xlfn.IFERROR(T99,""),_xlfn.IFERROR(T100,""))</f>
        <v/>
      </c>
      <c r="C54" s="83">
        <f>IF(OR(H69&lt;0,I102&lt;0),"Negative","positive")</f>
        <v/>
      </c>
      <c r="D54" s="63" t="n"/>
      <c r="E54" s="84" t="inlineStr">
        <is>
          <t xml:space="preserve">predictions </t>
        </is>
      </c>
      <c r="F54" s="15">
        <f>IF(Sheet2!O34="yes",Sheet2!S37,IF(Sheet2!O24="both tabs",Sheet2!S33,Sheet2!O33))</f>
        <v/>
      </c>
      <c r="G54" s="84">
        <f>_xlfn.TEXTJOIN(",  ", ,A1,Sheet2!X24)</f>
        <v/>
      </c>
      <c r="H54" s="3">
        <f>IF(AND(O92&gt;70,P97&gt;60,H48="good"),"under",IF(AND(H48="faulty",O92&gt;70,P97&gt;60),"under+1","run"))</f>
        <v/>
      </c>
      <c r="I54" s="84" t="inlineStr">
        <is>
          <t xml:space="preserve">predictions </t>
        </is>
      </c>
      <c r="J54" s="15">
        <f>IF(Sheet2!AN34="yes",Sheet2!AR37,IF(Sheet2!AN24="both tabs",Sheet2!AR33,Sheet2!AN33))</f>
        <v/>
      </c>
      <c r="K54" s="84">
        <f>_xlfn.TEXTJOIN(",  ", ,B1,Sheet2!AW24)</f>
        <v/>
      </c>
      <c r="L54" s="3" t="n"/>
      <c r="M54" s="84" t="inlineStr">
        <is>
          <t xml:space="preserve">predictions </t>
        </is>
      </c>
      <c r="N54" s="15">
        <f>IF(Sheet2!BM34="yes",Sheet2!BQ37,IF(Sheet2!BM24="both tabs",Sheet2!BQ33,Sheet2!BM33))</f>
        <v/>
      </c>
      <c r="O54" s="84">
        <f>_xlfn.TEXTJOIN(",  ", ,A2,Sheet2!BV24)</f>
        <v/>
      </c>
      <c r="P54" s="3">
        <f>IF(AND($O$93&gt;70,$P$98&gt;60,$P$48="good"),"under",IF(AND($P$48="faulty",$O$93&gt;70,$P$98&gt;60),"under+1","run"))</f>
        <v/>
      </c>
      <c r="Q54" s="84" t="inlineStr">
        <is>
          <t xml:space="preserve">predictions </t>
        </is>
      </c>
      <c r="R54" s="15">
        <f>IF(Sheet2!CL34="yes",Sheet2!CP37,IF(Sheet2!CL24="both tabs",Sheet2!CP33,Sheet2!CL33))</f>
        <v/>
      </c>
      <c r="S54" s="84">
        <f>_xlfn.TEXTJOIN(",  ", ,B2,Sheet2!CU24)</f>
        <v/>
      </c>
      <c r="T54" s="3" t="n"/>
      <c r="U54" s="84" t="inlineStr">
        <is>
          <t xml:space="preserve">predictions </t>
        </is>
      </c>
      <c r="V54" s="15">
        <f>IF(Sheet2!DK34="yes",Sheet2!DO37,IF(Sheet2!DK24="both tabs",Sheet2!DO33,Sheet2!DK33))</f>
        <v/>
      </c>
      <c r="W54" s="84">
        <f>_xlfn.TEXTJOIN(",  ", ,A3,Sheet2!DT24)</f>
        <v/>
      </c>
      <c r="X54" s="3" t="n"/>
      <c r="Y54" s="3" t="n"/>
      <c r="Z54" s="3" t="n"/>
      <c r="AA54" s="63" t="n"/>
      <c r="AB54" s="63" t="n"/>
      <c r="AC54" s="63" t="n"/>
      <c r="AD54" s="63" t="n"/>
      <c r="AE54" s="63" t="n"/>
      <c r="AF54" s="63" t="n"/>
      <c r="AG54" s="63" t="n"/>
      <c r="AH54" s="63" t="n"/>
      <c r="AI54" s="63" t="n"/>
      <c r="AJ54" s="63" t="n"/>
      <c r="AK54" s="63" t="n"/>
      <c r="AL54" s="63" t="n"/>
      <c r="AM54" s="63" t="n"/>
      <c r="AN54" s="18" t="n"/>
      <c r="AO54" s="18" t="n"/>
    </row>
    <row r="55" hidden="1" ht="15.75" customHeight="1" s="276">
      <c r="A55" s="85" t="n"/>
      <c r="B55" s="7" t="n"/>
      <c r="C55" s="69" t="n"/>
      <c r="D55" s="7">
        <f>IF($E$46-(AVERAGE(VLOOKUP(F56,$C$6:$V$42,20),VLOOKUP(G56,$C$6:$V$42,20)))&gt;-0.21,"well","not")</f>
        <v/>
      </c>
      <c r="E55" s="7" t="n"/>
      <c r="F55" s="70" t="inlineStr">
        <is>
          <t xml:space="preserve">away </t>
        </is>
      </c>
      <c r="G55" s="70" t="inlineStr">
        <is>
          <t xml:space="preserve">home </t>
        </is>
      </c>
      <c r="H55" s="7" t="n"/>
      <c r="I55" s="7" t="n"/>
      <c r="J55" s="70" t="inlineStr">
        <is>
          <t xml:space="preserve">away </t>
        </is>
      </c>
      <c r="K55" s="70" t="inlineStr">
        <is>
          <t xml:space="preserve">home </t>
        </is>
      </c>
      <c r="L55" s="7" t="n"/>
      <c r="M55" s="7" t="n"/>
      <c r="N55" s="70" t="inlineStr">
        <is>
          <t xml:space="preserve">away </t>
        </is>
      </c>
      <c r="O55" s="70" t="inlineStr">
        <is>
          <t xml:space="preserve">home </t>
        </is>
      </c>
      <c r="P55" s="7" t="n"/>
      <c r="Q55" s="7" t="n"/>
      <c r="R55" s="70" t="inlineStr">
        <is>
          <t xml:space="preserve">away </t>
        </is>
      </c>
      <c r="S55" s="70" t="inlineStr">
        <is>
          <t xml:space="preserve">home </t>
        </is>
      </c>
      <c r="T55" s="7" t="n"/>
      <c r="U55" s="7" t="n"/>
      <c r="V55" s="70" t="inlineStr">
        <is>
          <t xml:space="preserve">away </t>
        </is>
      </c>
      <c r="W55" s="70" t="inlineStr">
        <is>
          <t xml:space="preserve">home </t>
        </is>
      </c>
      <c r="X55" s="7" t="n"/>
      <c r="Y55" s="7" t="n"/>
      <c r="Z55" s="7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18" t="n"/>
      <c r="AO55" s="18" t="n"/>
    </row>
    <row r="56" hidden="1" ht="15.75" customHeight="1" s="276">
      <c r="A56" s="86" t="n"/>
      <c r="B56" s="3" t="n"/>
      <c r="C56" s="81" t="n"/>
      <c r="D56" s="3">
        <f>IF($E$46-(AVERAGE(VLOOKUP(F57,$C$6:$V$42,20),VLOOKUP(G57,$C$6:$V$42,20)))&gt;-0.21,"well","not")</f>
        <v/>
      </c>
      <c r="E56" s="3" t="inlineStr">
        <is>
          <t>attack</t>
        </is>
      </c>
      <c r="F56" s="3">
        <f>VLOOKUP(F48,$C$6:$U$42,16,FALSE)</f>
        <v/>
      </c>
      <c r="G56" s="3">
        <f>VLOOKUP(G48,$C$6:$U$42,14,FALSE)</f>
        <v/>
      </c>
      <c r="H56" s="3" t="n"/>
      <c r="I56" s="3" t="inlineStr">
        <is>
          <t>attack</t>
        </is>
      </c>
      <c r="J56" s="3">
        <f>VLOOKUP(J48,$C$6:$U$42,16,FALSE)</f>
        <v/>
      </c>
      <c r="K56" s="3">
        <f>VLOOKUP(K48,$C$6:$U$42,14,FALSE)</f>
        <v/>
      </c>
      <c r="L56" s="3" t="n"/>
      <c r="M56" s="3" t="inlineStr">
        <is>
          <t>attack</t>
        </is>
      </c>
      <c r="N56" s="3">
        <f>VLOOKUP(N48,$C$6:$U$42,16,FALSE)</f>
        <v/>
      </c>
      <c r="O56" s="3">
        <f>VLOOKUP(O48,$C$6:$U$42,14,FALSE)</f>
        <v/>
      </c>
      <c r="P56" s="3" t="n"/>
      <c r="Q56" s="3" t="inlineStr">
        <is>
          <t>attack</t>
        </is>
      </c>
      <c r="R56" s="3">
        <f>VLOOKUP(R48,$C$6:$U$42,16,FALSE)</f>
        <v/>
      </c>
      <c r="S56" s="3">
        <f>VLOOKUP(S48,$C$6:$U$42,14,FALSE)</f>
        <v/>
      </c>
      <c r="T56" s="3" t="n"/>
      <c r="U56" s="3" t="inlineStr">
        <is>
          <t>attack</t>
        </is>
      </c>
      <c r="V56" s="3">
        <f>VLOOKUP(V48,$C$6:$U$42,16,FALSE)</f>
        <v/>
      </c>
      <c r="W56" s="3">
        <f>VLOOKUP(W48,$C$6:$U$42,14,FALSE)</f>
        <v/>
      </c>
      <c r="X56" s="3" t="n"/>
      <c r="Y56" s="3" t="n"/>
      <c r="Z56" s="3" t="n"/>
      <c r="AA56" s="63" t="n"/>
      <c r="AB56" s="63" t="n"/>
      <c r="AC56" s="63" t="n"/>
      <c r="AD56" s="63" t="n"/>
      <c r="AE56" s="63" t="n"/>
      <c r="AF56" s="63" t="n"/>
      <c r="AG56" s="63" t="n"/>
      <c r="AH56" s="63" t="n"/>
      <c r="AI56" s="63" t="n"/>
      <c r="AJ56" s="63" t="n"/>
      <c r="AK56" s="63" t="n"/>
      <c r="AL56" s="63" t="n"/>
      <c r="AM56" s="63" t="n"/>
      <c r="AN56" s="18" t="n"/>
      <c r="AO56" s="18" t="n"/>
    </row>
    <row r="57" hidden="1" ht="15.75" customHeight="1" s="276">
      <c r="A57" s="85" t="n"/>
      <c r="B57" s="7" t="n"/>
      <c r="C57" s="69" t="n"/>
      <c r="D57" s="7">
        <f>IF($E$46-(AVERAGE(VLOOKUP(F58,$C$6:$V$42,20),VLOOKUP(G58,$C$6:$V$42,20)))&gt;-0.21,"well","not")</f>
        <v/>
      </c>
      <c r="E57" s="7" t="inlineStr">
        <is>
          <t>defend</t>
        </is>
      </c>
      <c r="F57" s="7">
        <f>VLOOKUP(F48,$C$6:$U$42,17, )</f>
        <v/>
      </c>
      <c r="G57" s="7">
        <f>VLOOKUP(G48,$C$6:$U$42,15,FALSE)</f>
        <v/>
      </c>
      <c r="H57" s="7" t="n"/>
      <c r="I57" s="7" t="inlineStr">
        <is>
          <t>defend</t>
        </is>
      </c>
      <c r="J57" s="7">
        <f>VLOOKUP(J48,$C$6:$U$42,17, )</f>
        <v/>
      </c>
      <c r="K57" s="7">
        <f>VLOOKUP(K48,$C$6:$U$42,15,FALSE)</f>
        <v/>
      </c>
      <c r="L57" s="7" t="n"/>
      <c r="M57" s="7" t="inlineStr">
        <is>
          <t>defend</t>
        </is>
      </c>
      <c r="N57" s="7">
        <f>VLOOKUP(N48,$C$6:$U$42,17, )</f>
        <v/>
      </c>
      <c r="O57" s="7">
        <f>VLOOKUP(O48,$C$6:$U$42,15,FALSE)</f>
        <v/>
      </c>
      <c r="P57" s="7" t="n"/>
      <c r="Q57" s="7" t="inlineStr">
        <is>
          <t>defend</t>
        </is>
      </c>
      <c r="R57" s="7">
        <f>VLOOKUP(R48,$C$6:$U$42,17, )</f>
        <v/>
      </c>
      <c r="S57" s="7">
        <f>VLOOKUP(S48,$C$6:$U$42,15,FALSE)</f>
        <v/>
      </c>
      <c r="T57" s="7" t="n"/>
      <c r="U57" s="7" t="inlineStr">
        <is>
          <t>defend</t>
        </is>
      </c>
      <c r="V57" s="7">
        <f>VLOOKUP(V48,$C$6:$U$42,17, )</f>
        <v/>
      </c>
      <c r="W57" s="7">
        <f>VLOOKUP(W48,$C$6:$U$42,15,FALSE)</f>
        <v/>
      </c>
      <c r="X57" s="7" t="n"/>
      <c r="Y57" s="7" t="n"/>
      <c r="Z57" s="7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18" t="n"/>
      <c r="AO57" s="18" t="n"/>
    </row>
    <row r="58" hidden="1" ht="15.75" customHeight="1" s="276">
      <c r="A58" s="86" t="n"/>
      <c r="B58" s="3" t="n"/>
      <c r="C58" s="81" t="n"/>
      <c r="D58" s="3">
        <f>IF($E$46-(AVERAGE(VLOOKUP(F59,$C$6:$V$42,20),VLOOKUP(G59,$C$6:$V$42,20)))&gt;-0.21,"well","not")</f>
        <v/>
      </c>
      <c r="E58" s="3" t="inlineStr">
        <is>
          <t>l.average</t>
        </is>
      </c>
      <c r="F58" s="31">
        <f>$I$45</f>
        <v/>
      </c>
      <c r="G58" s="31">
        <f>$E$45</f>
        <v/>
      </c>
      <c r="H58" s="3" t="n"/>
      <c r="I58" s="3" t="inlineStr">
        <is>
          <t>l.average</t>
        </is>
      </c>
      <c r="J58" s="31">
        <f>$I$45</f>
        <v/>
      </c>
      <c r="K58" s="31">
        <f>$E$45</f>
        <v/>
      </c>
      <c r="L58" s="3" t="n"/>
      <c r="M58" s="3" t="inlineStr">
        <is>
          <t>l.average</t>
        </is>
      </c>
      <c r="N58" s="31">
        <f>$I$45</f>
        <v/>
      </c>
      <c r="O58" s="31">
        <f>$E$45</f>
        <v/>
      </c>
      <c r="P58" s="3" t="n"/>
      <c r="Q58" s="3" t="inlineStr">
        <is>
          <t>l.average</t>
        </is>
      </c>
      <c r="R58" s="31">
        <f>$I$45</f>
        <v/>
      </c>
      <c r="S58" s="31">
        <f>$E$45</f>
        <v/>
      </c>
      <c r="T58" s="3" t="n"/>
      <c r="U58" s="3" t="inlineStr">
        <is>
          <t>l.average</t>
        </is>
      </c>
      <c r="V58" s="31">
        <f>$I$45</f>
        <v/>
      </c>
      <c r="W58" s="31">
        <f>$E$45</f>
        <v/>
      </c>
      <c r="X58" s="3" t="n"/>
      <c r="Y58" s="3" t="n"/>
      <c r="Z58" s="3" t="n"/>
      <c r="AA58" s="63" t="n"/>
      <c r="AB58" s="63" t="n"/>
      <c r="AC58" s="63" t="n"/>
      <c r="AD58" s="63" t="n"/>
      <c r="AE58" s="63" t="n"/>
      <c r="AF58" s="63" t="n"/>
      <c r="AG58" s="63" t="n"/>
      <c r="AH58" s="63" t="n"/>
      <c r="AI58" s="63" t="n"/>
      <c r="AJ58" s="63" t="n"/>
      <c r="AK58" s="63" t="n"/>
      <c r="AL58" s="63" t="n"/>
      <c r="AM58" s="63" t="n"/>
      <c r="AN58" s="18" t="n"/>
      <c r="AO58" s="18" t="n"/>
    </row>
    <row r="59" hidden="1" ht="45.75" customHeight="1" s="276">
      <c r="A59" s="87" t="n"/>
      <c r="B59" s="7" t="n"/>
      <c r="C59" s="69" t="n"/>
      <c r="D59" s="7">
        <f>IF($E$46-(AVERAGE(VLOOKUP(F60,$C$6:$V$42,20),VLOOKUP(G60,$C$6:$V$42,20)))&gt;-0.21,"well","not")</f>
        <v/>
      </c>
      <c r="E59" s="7" t="inlineStr">
        <is>
          <t>g.expect</t>
        </is>
      </c>
      <c r="F59" s="7">
        <f>F56*G57*F58</f>
        <v/>
      </c>
      <c r="G59" s="7">
        <f>(G56+G60)*F57*G58</f>
        <v/>
      </c>
      <c r="H59" s="7" t="n"/>
      <c r="I59" s="7" t="inlineStr">
        <is>
          <t>g.expect</t>
        </is>
      </c>
      <c r="J59" s="7">
        <f>J56*K57*J58</f>
        <v/>
      </c>
      <c r="K59" s="7">
        <f>(K56+K60)*J57*K58</f>
        <v/>
      </c>
      <c r="L59" s="7" t="n"/>
      <c r="M59" s="7" t="inlineStr">
        <is>
          <t>g.expect</t>
        </is>
      </c>
      <c r="N59" s="7">
        <f>N56*O57*N58</f>
        <v/>
      </c>
      <c r="O59" s="7">
        <f>(O56+O60)*N57*O58</f>
        <v/>
      </c>
      <c r="P59" s="7" t="n"/>
      <c r="Q59" s="7" t="inlineStr">
        <is>
          <t>g.expect</t>
        </is>
      </c>
      <c r="R59" s="7">
        <f>R56*S57*R58</f>
        <v/>
      </c>
      <c r="S59" s="7">
        <f>(S56+S60)*R57*S58</f>
        <v/>
      </c>
      <c r="T59" s="7" t="n"/>
      <c r="U59" s="7" t="inlineStr">
        <is>
          <t>g.expect</t>
        </is>
      </c>
      <c r="V59" s="7">
        <f>V56*W57*V58</f>
        <v/>
      </c>
      <c r="W59" s="7">
        <f>(W56+W60)*V57*W58</f>
        <v/>
      </c>
      <c r="X59" s="7" t="n"/>
      <c r="Y59" s="7" t="n"/>
      <c r="Z59" s="7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18" t="n"/>
      <c r="AO59" s="18" t="n"/>
    </row>
    <row r="60" hidden="1" ht="31.5" customHeight="1" s="276">
      <c r="A60" s="88" t="n"/>
      <c r="B60" s="3" t="n"/>
      <c r="C60" s="81" t="n"/>
      <c r="D60" s="3">
        <f>IF($E$46-(AVERAGE(VLOOKUP(N48,$C$6:$V$42,20),VLOOKUP(O48,$C$6:$V$42,20)))&gt;-0.21,"well","not")</f>
        <v/>
      </c>
      <c r="E60" s="3" t="inlineStr">
        <is>
          <t>HA</t>
        </is>
      </c>
      <c r="F60" s="3" t="n"/>
      <c r="G60" s="3">
        <f>VLOOKUP(G48,$C$6:$U$45,18, )</f>
        <v/>
      </c>
      <c r="H60" s="3" t="n"/>
      <c r="I60" s="3" t="inlineStr">
        <is>
          <t>HA</t>
        </is>
      </c>
      <c r="J60" s="3" t="n"/>
      <c r="K60" s="3">
        <f>VLOOKUP(K48,$C$6:$U$45,18, )</f>
        <v/>
      </c>
      <c r="L60" s="3" t="n"/>
      <c r="M60" s="3" t="inlineStr">
        <is>
          <t>HA</t>
        </is>
      </c>
      <c r="N60" s="3" t="n"/>
      <c r="O60" s="3">
        <f>VLOOKUP(O48,$C$6:$U$45,18, )</f>
        <v/>
      </c>
      <c r="P60" s="3" t="n"/>
      <c r="Q60" s="3" t="inlineStr">
        <is>
          <t>HA</t>
        </is>
      </c>
      <c r="R60" s="3" t="n"/>
      <c r="S60" s="3">
        <f>VLOOKUP(S48,$C$6:$U$45,18, )</f>
        <v/>
      </c>
      <c r="T60" s="3" t="n"/>
      <c r="U60" s="3" t="inlineStr">
        <is>
          <t>HA</t>
        </is>
      </c>
      <c r="V60" s="3" t="n"/>
      <c r="W60" s="3">
        <f>VLOOKUP(W48,$C$6:$U$45,18, )</f>
        <v/>
      </c>
      <c r="X60" s="3" t="n"/>
      <c r="Y60" s="3" t="n"/>
      <c r="Z60" s="3" t="n"/>
      <c r="AA60" s="63" t="n"/>
      <c r="AB60" s="63" t="n"/>
      <c r="AC60" s="63" t="n"/>
      <c r="AD60" s="63" t="n"/>
      <c r="AE60" s="63" t="n"/>
      <c r="AF60" s="63" t="n"/>
      <c r="AG60" s="63" t="n"/>
      <c r="AH60" s="63" t="n"/>
      <c r="AI60" s="63" t="n"/>
      <c r="AJ60" s="63" t="n"/>
      <c r="AK60" s="63" t="n"/>
      <c r="AL60" s="63" t="n"/>
      <c r="AM60" s="63" t="n"/>
      <c r="AN60" s="18" t="n"/>
      <c r="AO60" s="18" t="n"/>
    </row>
    <row r="61" hidden="1" ht="27" customHeight="1" s="276">
      <c r="A61" s="87" t="n"/>
      <c r="B61" s="7" t="n"/>
      <c r="C61" s="69" t="n"/>
      <c r="D61" s="7">
        <f>IF($E$46-(AVERAGE(VLOOKUP(R48,$C$6:$V$42,20),VLOOKUP(S48,$C$6:$V$42,20)))&gt;-0.21,"well","not")</f>
        <v/>
      </c>
      <c r="E61" s="7">
        <f>Sheet2!J28</f>
        <v/>
      </c>
      <c r="F61" s="7">
        <f>IF(Sheet2!S38="both sides",Sheet2!S38,IF(Sheet2!S33="2 handicap",Sheet2!S37,Sheet2!P26))</f>
        <v/>
      </c>
      <c r="G61" s="7">
        <f>_xlfn.TEXTJOIN(", ", ,Sheet2!C26,Sheet2!C28,Sheet2!U23)</f>
        <v/>
      </c>
      <c r="H61" s="89">
        <f>_xlfn.TEXTJOIN(" ;", ,IF(O81&lt;25,H54,N81),IF(OR(L75="swiped",L76="swiped"),"yes",""))</f>
        <v/>
      </c>
      <c r="I61" s="7">
        <f>Sheet2!AI28</f>
        <v/>
      </c>
      <c r="J61" s="7">
        <f>IF(Sheet2!AR38="both sides",Sheet2!AR38,IF(Sheet2!AR33="2 handicap",Sheet2!AR37,Sheet2!AO26))</f>
        <v/>
      </c>
      <c r="K61" s="7">
        <f>_xlfn.TEXTJOIN(", ", ,Sheet2!AB26,Sheet2!AB28,Sheet2!AT23)</f>
        <v/>
      </c>
      <c r="L61" s="7" t="n"/>
      <c r="M61" s="7">
        <f>Sheet2!BH28</f>
        <v/>
      </c>
      <c r="N61" s="7">
        <f>IF(Sheet2!BQ38="both sides",Sheet2!BQ38,IF(Sheet2!BQ38="both sides",Sheet2!S38,IF(Sheet2!BQ33="2 handicap",Sheet2!BQ37,Sheet2!BN26)))</f>
        <v/>
      </c>
      <c r="O61" s="7">
        <f>_xlfn.TEXTJOIN(", ", ,Sheet2!BA26,Sheet2!BA28,Sheet2!BS23)</f>
        <v/>
      </c>
      <c r="P61" s="89">
        <f>_xlfn.TEXTJOIN(" ;", ,IF(O83&lt;25,P54,N83),IF(OR(L77="swiped",L78="swiped"),"yes",""))</f>
        <v/>
      </c>
      <c r="Q61" s="7">
        <f>Sheet2!CG28</f>
        <v/>
      </c>
      <c r="R61" s="7">
        <f>IF(Sheet2!CP38="both sides",Sheet2!CP38,IF(Sheet2!CP33="2 handicap",Sheet2!CP37,Sheet2!CM26))</f>
        <v/>
      </c>
      <c r="S61" s="7">
        <f>_xlfn.TEXTJOIN(", ", ,Sheet2!BZ26,Sheet2!BZ28,Sheet2!CR23)</f>
        <v/>
      </c>
      <c r="T61" s="7" t="n"/>
      <c r="U61" s="7">
        <f>Sheet2!DF28</f>
        <v/>
      </c>
      <c r="V61" s="7">
        <f>IF(Sheet2!DO38="both sides",Sheet2!DO38,IF(Sheet2!DO33="2 handicap",Sheet2!DO37,Sheet2!DL26))</f>
        <v/>
      </c>
      <c r="W61" s="7">
        <f>_xlfn.TEXTJOIN(", ", ,Sheet2!CY26,Sheet2!CY28,Sheet2!DQ23)</f>
        <v/>
      </c>
      <c r="X61" s="7" t="n"/>
      <c r="Y61" s="7" t="n"/>
      <c r="Z61" s="7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18" t="n"/>
      <c r="AO61" s="18" t="n"/>
    </row>
    <row r="62" hidden="1" ht="32.25" customHeight="1" s="276">
      <c r="A62" s="88" t="n">
        <v>1</v>
      </c>
      <c r="B62" s="90">
        <f>B69</f>
        <v/>
      </c>
      <c r="C62" s="91">
        <f>C69</f>
        <v/>
      </c>
      <c r="D62" s="3">
        <f>IF($E$46-(AVERAGE(VLOOKUP(V48,$C$6:$V$42,20),VLOOKUP(W48,$C$6:$V$42,20)))&gt;-0.21,"well","not")</f>
        <v/>
      </c>
      <c r="E62" s="65">
        <f>IF(CORREL($I6:$I42,$M6:$M42)&gt;0.4,"settled","not")</f>
        <v/>
      </c>
      <c r="F62" s="3">
        <f>Sheet2!V23</f>
        <v/>
      </c>
      <c r="G62" s="15">
        <f>Sheet2!O14</f>
        <v/>
      </c>
      <c r="H62" s="92">
        <f>IF(P97&lt;60,"",IF(AND(OR(A1="yes",A1="wow"),OR(B1="yes",B1="wow")),"NO",IF(OR(OR(A1="yes",A1="wow"),OR(B1="yes",B1="wow")),"+1",H54)))</f>
        <v/>
      </c>
      <c r="I62" s="15">
        <f>IF(CORREL($I6:$I42,$M6:$M42)&gt;0.4,"settled","not")</f>
        <v/>
      </c>
      <c r="J62" s="3">
        <f>Sheet2!AU23</f>
        <v/>
      </c>
      <c r="K62" s="3">
        <f>Sheet2!AN14</f>
        <v/>
      </c>
      <c r="L62" s="3" t="n"/>
      <c r="M62" s="3">
        <f>IF(CORREL($I6:$I42,$M6:$M42)&gt;0.4,"settled","not")</f>
        <v/>
      </c>
      <c r="N62" s="3">
        <f>Sheet2!BT23</f>
        <v/>
      </c>
      <c r="O62" s="15">
        <f>Sheet2!BM14</f>
        <v/>
      </c>
      <c r="P62" s="92">
        <f>IF(P98&lt;60,"",IF(AND(OR(A2="yes",A2="wow"),OR(B2="yes",B2="wow")),"NO",IF(OR(OR(A2="yes",A2="wow"),OR(B2="yes",B2="wow")),"+1",P54)))</f>
        <v/>
      </c>
      <c r="Q62" s="15">
        <f>IF(CORREL($I6:$I42,$M6:$M42)&gt;0.4,"settled","not")</f>
        <v/>
      </c>
      <c r="R62" s="3">
        <f>Sheet2!CS23</f>
        <v/>
      </c>
      <c r="S62" s="3">
        <f>Sheet2!CL14</f>
        <v/>
      </c>
      <c r="T62" s="3" t="n"/>
      <c r="U62" s="3">
        <f>IF(CORREL($I6:$I42,$M6:$M42)&gt;0.6,"settled","not")</f>
        <v/>
      </c>
      <c r="V62" s="3">
        <f>Sheet2!DR23</f>
        <v/>
      </c>
      <c r="W62" s="3">
        <f>Sheet2!DK14</f>
        <v/>
      </c>
      <c r="X62" s="3" t="n"/>
      <c r="Y62" s="3" t="n"/>
      <c r="Z62" s="3" t="n"/>
      <c r="AA62" s="63" t="n"/>
      <c r="AB62" s="63" t="n"/>
      <c r="AC62" s="63" t="n"/>
      <c r="AD62" s="63" t="n"/>
      <c r="AE62" s="63" t="n"/>
      <c r="AF62" s="63" t="n"/>
      <c r="AG62" s="63" t="n"/>
      <c r="AH62" s="63" t="n"/>
      <c r="AI62" s="63" t="n"/>
      <c r="AJ62" s="63" t="n"/>
      <c r="AK62" s="63" t="n"/>
      <c r="AL62" s="63" t="n"/>
      <c r="AM62" s="63" t="n"/>
      <c r="AN62" s="18" t="n"/>
      <c r="AO62" s="18" t="n"/>
    </row>
    <row r="63" hidden="1" ht="15.75" customHeight="1" s="276">
      <c r="A63" s="87" t="n">
        <v>2</v>
      </c>
      <c r="B63" s="93">
        <f>C69</f>
        <v/>
      </c>
      <c r="C63" s="94">
        <f>B69</f>
        <v/>
      </c>
      <c r="D63" s="7" t="n"/>
      <c r="E63" s="7">
        <f>IF(AND(G62="all met",OR(E47="align",E47="full"),F62="under"),"precised1",IF(AND(F62="under",OR(E47="align",E47="full"),OR(F63="high1",F63="waw",F63="high"),OR(G63="high",G63="high1",G63="waw1",G63="waw")),"precised2", ))</f>
        <v/>
      </c>
      <c r="F63" s="7">
        <f>Sheet2!H39</f>
        <v/>
      </c>
      <c r="G63" s="23">
        <f>Sheet2!M12</f>
        <v/>
      </c>
      <c r="H63" s="95">
        <f>Q91</f>
        <v/>
      </c>
      <c r="I63" s="23">
        <f>IF(AND(K62="all met",OR(I47="align",I47="full"),J62="under"),"precised1",IF(AND(J62="under",OR(I47="align",I47="full"),OR(J63="high1",J63="waw",J63="high"),OR(K63="high",K63="high1",K63="waw1",K63="waw")),"precised2", ))</f>
        <v/>
      </c>
      <c r="J63" s="7">
        <f>Sheet2!AG39</f>
        <v/>
      </c>
      <c r="K63" s="7">
        <f>Sheet2!AL12</f>
        <v/>
      </c>
      <c r="L63" s="7" t="n"/>
      <c r="M63" s="7">
        <f>IF(AND(O62="all met",OR(M47="align",M47="full"),N62="under"),"precised1",IF(AND(N62="under",OR(M47="align",M47="full"),OR(N63="high1",N63="waw",N63="high"),OR(O63="high",O63="high1",O63="waw1",O63="waw")),"precised2", ))</f>
        <v/>
      </c>
      <c r="N63" s="7">
        <f>Sheet2!BF39</f>
        <v/>
      </c>
      <c r="O63" s="23">
        <f>Sheet2!BK12</f>
        <v/>
      </c>
      <c r="P63" s="95">
        <f>Q93</f>
        <v/>
      </c>
      <c r="Q63" s="23">
        <f>IF(AND(S62="all met",OR(Q47="align",Q47="full"),R62="under"),"precised1",IF(AND(R62="under",OR(Q47="align",Q47="full"),OR(R63="high1",R63="waw",R63="high"),OR(S63="high",S63="high1",S63="waw1",S63="waw")),"precised2", ))</f>
        <v/>
      </c>
      <c r="R63" s="7">
        <f>Sheet2!CE39</f>
        <v/>
      </c>
      <c r="S63" s="7">
        <f>Sheet2!CJ12</f>
        <v/>
      </c>
      <c r="T63" s="7" t="n"/>
      <c r="U63" s="7">
        <f>IF(AND(W62="all met",OR(U47="align",U47="full"),V62="under"),"precised1",IF(AND(V62="under",OR(U47="align",U47="full"),OR(V63="high1",V63="waw",V63="high"),OR(W63="high",W63="high1",W63="waw1",W63="waw")),"precised2", ))</f>
        <v/>
      </c>
      <c r="V63" s="7">
        <f>Sheet2!DD39</f>
        <v/>
      </c>
      <c r="W63" s="7">
        <f>Sheet2!DI12</f>
        <v/>
      </c>
      <c r="X63" s="7" t="n"/>
      <c r="Y63" s="7" t="n"/>
      <c r="Z63" s="7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18" t="n"/>
      <c r="AO63" s="18" t="n"/>
    </row>
    <row r="64" ht="15.75" customHeight="1" s="276">
      <c r="A64" s="96">
        <f>IF(OR(T88="not",U88="not",P88="both",P89="both"),"",W81)</f>
        <v/>
      </c>
      <c r="B64" s="97">
        <f>_xlfn.TEXTJOIN(".  ", ,"Home",B104,(ROUND(Sheet2!R2,2))*100)</f>
        <v/>
      </c>
      <c r="C64" s="98">
        <f>_xlfn.TEXTJOIN("• ", ,"Away",L105)</f>
        <v/>
      </c>
      <c r="D64" s="3">
        <f>Sheet2!N73</f>
        <v/>
      </c>
      <c r="E64" s="103">
        <f>Sheet2!J20</f>
        <v/>
      </c>
      <c r="F64" s="100">
        <f>Sheet2!J26</f>
        <v/>
      </c>
      <c r="H64" s="102">
        <f>IF(CORREL($J6:$J42,$N6:$N42)&lt;0.4,"less","High")</f>
        <v/>
      </c>
      <c r="I64" s="103">
        <f>Sheet2!AI20</f>
        <v/>
      </c>
      <c r="J64" s="103">
        <f>Sheet2!AI26</f>
        <v/>
      </c>
      <c r="L64" s="3" t="n"/>
      <c r="M64" s="103">
        <f>Sheet2!BH20</f>
        <v/>
      </c>
      <c r="N64" s="100">
        <f>Sheet2!BH26</f>
        <v/>
      </c>
      <c r="P64" s="102">
        <f>IF(CORREL($J6:$J42,$N6:$N42)&lt;0.4,"less","High")</f>
        <v/>
      </c>
      <c r="Q64" s="103">
        <f>Sheet2!CG20</f>
        <v/>
      </c>
      <c r="R64" s="100">
        <f>Sheet2!CG26</f>
        <v/>
      </c>
      <c r="U64" s="103">
        <f>Sheet2!DF20</f>
        <v/>
      </c>
      <c r="V64" s="100">
        <f>Sheet2!DF26</f>
        <v/>
      </c>
      <c r="X64" s="3" t="n"/>
      <c r="Y64" s="3" t="n"/>
      <c r="Z64" s="3" t="n"/>
      <c r="AA64" s="63" t="n"/>
      <c r="AB64" s="63" t="n"/>
      <c r="AC64" s="63" t="n"/>
      <c r="AD64" s="63" t="n"/>
      <c r="AE64" s="63" t="n"/>
      <c r="AF64" s="63" t="n"/>
      <c r="AG64" s="63" t="n"/>
      <c r="AH64" s="63" t="n"/>
      <c r="AI64" s="63" t="n"/>
      <c r="AJ64" s="63" t="n"/>
      <c r="AK64" s="63" t="n"/>
      <c r="AL64" s="63" t="n"/>
      <c r="AM64" s="63" t="n"/>
      <c r="AN64" s="18" t="n"/>
      <c r="AO64" s="18" t="n"/>
    </row>
    <row r="65" hidden="1" ht="66.75" customHeight="1" s="276">
      <c r="A65" s="7" t="n"/>
      <c r="B65" s="7" t="n"/>
      <c r="C65" s="7" t="n"/>
      <c r="D65" s="7" t="n"/>
      <c r="E65" s="7">
        <f>IF(ABS(Sheet2!J5-Sheet2!J43)&gt;2,"greater",IF(ABS(Sheet2!J5-Sheet2!J43)&gt;1,"great","less"))</f>
        <v/>
      </c>
      <c r="F65" s="7">
        <f>IF(Sheet2!J5+Sheet2!J43&gt;16,"less goal",IF(Sheet2!J5+Sheet2!J43&gt;14,"L.goal","H.goal"))</f>
        <v/>
      </c>
      <c r="G65" s="7">
        <f>IF(ISNA(VLOOKUP(F48,Sheet2!K17,1)),"",VLOOKUP(F48,Sheet2!K17,1))</f>
        <v/>
      </c>
      <c r="H65" s="7" t="n"/>
      <c r="I65" s="7">
        <f>IF(ABS(Sheet2!AI5-Sheet2!AI43)&gt;2,"greater",IF(ABS(Sheet2!AI5-Sheet2!AI43)&gt;1,"great","less"))</f>
        <v/>
      </c>
      <c r="J65" s="7">
        <f>IF(Sheet2!AI5+Sheet2!AI43&gt;16,"less goal",IF(Sheet2!AI5+Sheet2!AI43&gt;14,"L.goal","H.goal"))</f>
        <v/>
      </c>
      <c r="K65" s="7">
        <f>Sheet2!AJ17</f>
        <v/>
      </c>
      <c r="L65" s="7" t="n"/>
      <c r="M65" s="7">
        <f>IF(ABS(Sheet2!BH5-Sheet2!BH43)&gt;2,"greater",IF(ABS(Sheet2!BH5-Sheet2!BH43)&gt;1,"great","less"))</f>
        <v/>
      </c>
      <c r="N65" s="7">
        <f>IF(Sheet2!BH5+Sheet2!BH43&gt;16,"less goal",IF(Sheet2!BH5+Sheet2!BH43&gt;14,"L.goal","H.goal"))</f>
        <v/>
      </c>
      <c r="O65" s="7">
        <f>Sheet2!BI17</f>
        <v/>
      </c>
      <c r="P65" s="7" t="n"/>
      <c r="Q65" s="7">
        <f>IF(ABS(Sheet2!CG5-Sheet2!CG43)&gt;2,"greater",IF(ABS(Sheet2!CG5-Sheet2!CG43)&gt;1,"great","less"))</f>
        <v/>
      </c>
      <c r="R65" s="7">
        <f>IF(Sheet2!CG5+Sheet2!CG43&gt;16,"less goal",IF(Sheet2!CG5+Sheet2!CG43&gt;14,"L.goal","H.goal"))</f>
        <v/>
      </c>
      <c r="S65" s="7">
        <f>Sheet2!CH17</f>
        <v/>
      </c>
      <c r="T65" s="7" t="n"/>
      <c r="U65" s="7">
        <f>IF(ABS(Sheet2!DF5-Sheet2!DF43)&gt;2,"greater",IF(ABS(Sheet2!DF5-Sheet2!DF43)&gt;1,"great","less"))</f>
        <v/>
      </c>
      <c r="V65" s="7">
        <f>IF(Sheet2!DF5+Sheet2!DF43&gt;16,"less goal",IF(Sheet2!DF5+Sheet2!DF43&gt;14,"L.goal","H.goal"))</f>
        <v/>
      </c>
      <c r="W65" s="7">
        <f>Sheet2!DG17</f>
        <v/>
      </c>
      <c r="X65" s="7" t="n"/>
      <c r="Y65" s="7" t="n"/>
      <c r="Z65" s="7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18" t="n"/>
      <c r="AO65" s="18" t="n"/>
    </row>
    <row r="66" hidden="1" ht="31.5" customHeight="1" s="276">
      <c r="A66" s="3" t="n"/>
      <c r="B66" s="3" t="n"/>
      <c r="C66" s="3" t="n"/>
      <c r="D66" s="3" t="n"/>
      <c r="E66" s="3">
        <f>IF(F66=MAX(G66,F66),"home","away")</f>
        <v/>
      </c>
      <c r="F66" s="31">
        <f>VLOOKUP(F48,$C6:$O42,7)</f>
        <v/>
      </c>
      <c r="G66" s="31">
        <f>VLOOKUP(G48,$C6:$O42,11)</f>
        <v/>
      </c>
      <c r="H66" s="3" t="n"/>
      <c r="I66" s="3">
        <f>IF(J66=MAX(K66,J66),"home","away")</f>
        <v/>
      </c>
      <c r="J66" s="31">
        <f>VLOOKUP(J48,$C6:$O42,7)</f>
        <v/>
      </c>
      <c r="K66" s="31">
        <f>VLOOKUP(K48,$C6:$O42,11)</f>
        <v/>
      </c>
      <c r="L66" s="3" t="n"/>
      <c r="M66" s="3">
        <f>IF(N66=MAX(O66,N66),"home","away")</f>
        <v/>
      </c>
      <c r="N66" s="31">
        <f>VLOOKUP(N48,$C6:$O42,7)</f>
        <v/>
      </c>
      <c r="O66" s="31">
        <f>VLOOKUP(O48,$C6:$O42,11)</f>
        <v/>
      </c>
      <c r="P66" s="3" t="n"/>
      <c r="Q66" s="3">
        <f>IF(R66=MAX(S66,R66),"home","away")</f>
        <v/>
      </c>
      <c r="R66" s="31">
        <f>VLOOKUP(R48,$C6:$O42,7)</f>
        <v/>
      </c>
      <c r="S66" s="31">
        <f>VLOOKUP(S48,$C6:$O42,11)</f>
        <v/>
      </c>
      <c r="T66" s="3" t="n"/>
      <c r="U66" s="3">
        <f>IF(V66=MAX(W66,V66),"home","away")</f>
        <v/>
      </c>
      <c r="V66" s="31">
        <f>VLOOKUP(V48,$C6:$O42,7)</f>
        <v/>
      </c>
      <c r="W66" s="31">
        <f>VLOOKUP(W48,$C6:$O42,11)</f>
        <v/>
      </c>
      <c r="X66" s="3" t="n"/>
      <c r="Y66" s="3" t="n"/>
      <c r="Z66" s="3" t="n"/>
      <c r="AA66" s="63" t="n"/>
      <c r="AB66" s="63" t="n"/>
      <c r="AC66" s="63" t="n"/>
      <c r="AD66" s="63" t="n"/>
      <c r="AE66" s="63" t="n"/>
      <c r="AF66" s="63" t="n"/>
      <c r="AG66" s="63" t="n"/>
      <c r="AH66" s="63" t="n"/>
      <c r="AI66" s="63" t="n"/>
      <c r="AJ66" s="63" t="n"/>
      <c r="AK66" s="63" t="n"/>
      <c r="AL66" s="63" t="n"/>
      <c r="AM66" s="63" t="n"/>
      <c r="AN66" s="18" t="n"/>
      <c r="AO66" s="18" t="n"/>
    </row>
    <row r="67" hidden="1" ht="32.25" customHeight="1" s="276">
      <c r="A67" s="7" t="n"/>
      <c r="B67" s="7" t="n"/>
      <c r="C67" s="7" t="n"/>
      <c r="D67" s="7" t="n"/>
      <c r="E67" s="7">
        <f>IF(F67=MAX(G67,F67),"home","away")</f>
        <v/>
      </c>
      <c r="F67" s="7">
        <f>F66*VLOOKUP(G48,$C6:$O42,12)</f>
        <v/>
      </c>
      <c r="G67" s="7">
        <f>G66*VLOOKUP(F48,$C6:$O42,8)</f>
        <v/>
      </c>
      <c r="H67" s="7" t="n"/>
      <c r="I67" s="7">
        <f>IF(J67=MAX(K67,J67),"home","away")</f>
        <v/>
      </c>
      <c r="J67" s="7">
        <f>J66*VLOOKUP(K48,$C6:$O42,12)</f>
        <v/>
      </c>
      <c r="K67" s="7">
        <f>K66*VLOOKUP(J48,$C6:$O42,8)</f>
        <v/>
      </c>
      <c r="L67" s="7" t="n"/>
      <c r="M67" s="7">
        <f>IF(N67=MAX(O67,N67),"home","away")</f>
        <v/>
      </c>
      <c r="N67" s="7">
        <f>N66*VLOOKUP(O48,$C6:$O42,12)</f>
        <v/>
      </c>
      <c r="O67" s="7">
        <f>O66*VLOOKUP(N48,$C6:$O42,8)</f>
        <v/>
      </c>
      <c r="P67" s="7" t="n"/>
      <c r="Q67" s="7">
        <f>IF(R67=MAX(S67,R67),"home","away")</f>
        <v/>
      </c>
      <c r="R67" s="7">
        <f>R66*VLOOKUP(S48,$C6:$O42,12)</f>
        <v/>
      </c>
      <c r="S67" s="7">
        <f>S66*VLOOKUP(R48,$C6:$O42,8)</f>
        <v/>
      </c>
      <c r="T67" s="7" t="n"/>
      <c r="U67" s="7">
        <f>IF(V67=MAX(W67,V67),"home","away")</f>
        <v/>
      </c>
      <c r="V67" s="7">
        <f>V66*VLOOKUP(W48,$C6:$O42,12)</f>
        <v/>
      </c>
      <c r="W67" s="7">
        <f>W66*VLOOKUP(V48,$C6:$O42,8)</f>
        <v/>
      </c>
      <c r="X67" s="7" t="n"/>
      <c r="Y67" s="7" t="n"/>
      <c r="Z67" s="7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18" t="n"/>
      <c r="AO67" s="18" t="n"/>
    </row>
    <row r="68" hidden="1" ht="16.5" customHeight="1" s="276">
      <c r="A68" s="3" t="n"/>
      <c r="B68" s="3" t="n"/>
      <c r="C68" s="3" t="n"/>
      <c r="D68" s="3" t="n"/>
      <c r="E68" s="3">
        <f>IF(AND(E66="home",E67="home"),"1x",IF(AND(E66="away",E67="away"),"x2",IF(AND(E66="home",E67="away"),E67,IF(AND(E66="away",E67="home"),E67,0))))</f>
        <v/>
      </c>
      <c r="F68" s="3">
        <f>AVERAGE(F67,G67)</f>
        <v/>
      </c>
      <c r="G68" s="3">
        <f>IF(F68&lt;0.65,"u1.5",IF(F68&lt;1,"u2.5",IF(F68&lt;1.3,"over3",IF(AND(F67&gt;F66,OR(G67&lt;G66,G67=G66)),"under1",IF(AND(G67&gt;G66,OR(F67&lt;F66,F67=F66)),"under2","over")))))</f>
        <v/>
      </c>
      <c r="H68" s="3" t="n"/>
      <c r="I68" s="3">
        <f>IF(AND(I66="home",I67="home"),"1x",IF(AND(I66="away",I67="away"),"x2",IF(AND(I66="home",I67="away"),I67,IF(AND(I66="away",I67="home"),I67,0))))</f>
        <v/>
      </c>
      <c r="J68" s="3">
        <f>AVERAGE(J67,K67)</f>
        <v/>
      </c>
      <c r="K68" s="3">
        <f>IF(J68&lt;0.65,"u1.5",IF(J68&lt;1,"u2.5",IF(J68&lt;1.3,"over3",IF(AND(J67&gt;J66,OR(K67&lt;K66,K67=K66)),"under1",IF(AND(K67&gt;K66,OR(J67&lt;J66,J67=J66)),"under2","over")))))</f>
        <v/>
      </c>
      <c r="L68" s="3" t="n"/>
      <c r="M68" s="3">
        <f>IF(AND(M66="home",M67="home"),"1x",IF(AND(M66="away",M67="away"),"x2",IF(AND(M66="home",M67="away"),M67,IF(AND(M66="away",M67="home"),M67,0))))</f>
        <v/>
      </c>
      <c r="N68" s="3">
        <f>AVERAGE(N67,O67)</f>
        <v/>
      </c>
      <c r="O68" s="3">
        <f>IF(N68&lt;0.65,"u1.5",IF(N68&lt;1,"u2.5",IF(N68&lt;1.3,"over3",IF(AND(N67&gt;N66,OR(O67&lt;O66,O67=O66)),"under1",IF(AND(O67&gt;O66,OR(N67&lt;N66,N67=N66)),"under2","over")))))</f>
        <v/>
      </c>
      <c r="P68" s="3" t="n"/>
      <c r="Q68" s="3">
        <f>IF(AND(Q66="home",Q67="home"),"1x",IF(AND(Q66="away",Q67="away"),"x2",IF(AND(Q66="home",Q67="away"),Q67,IF(AND(Q66="away",Q67="home"),Q67,0))))</f>
        <v/>
      </c>
      <c r="R68" s="3">
        <f>AVERAGE(R67,S67)</f>
        <v/>
      </c>
      <c r="S68" s="3">
        <f>IF(R68&lt;0.65,"u1.5",IF(R68&lt;1,"u2.5",IF(R68&lt;1.3,"over3",IF(AND(R67&gt;R66,OR(S67&lt;S66,S67=S66)),"under1",IF(AND(S67&gt;S66,OR(R67&lt;R66,R67=R66)),"under2","over")))))</f>
        <v/>
      </c>
      <c r="T68" s="3" t="n"/>
      <c r="U68" s="3">
        <f>IF(AND(U66="home",U67="home"),"1x",IF(AND(U66="away",U67="away"),"x2",IF(AND(U66="home",U67="away"),U67,IF(AND(U66="away",U67="home"),U67,0))))</f>
        <v/>
      </c>
      <c r="V68" s="3">
        <f>AVERAGE(V67,W67)</f>
        <v/>
      </c>
      <c r="W68" s="3">
        <f>IF(V68&lt;0.65,"u1.5",IF(V68&lt;1,"u2.5",IF(V68&lt;1.3,"over3",IF(AND(V67&gt;V66,OR(W67&lt;W66,W67=W66)),"under1",IF(AND(W67&gt;W66,OR(V67&lt;V66,V67=V66)),"under2","over")))))</f>
        <v/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</row>
    <row r="69" ht="30" customHeight="1" s="276">
      <c r="A69" s="104">
        <f>IF(AND(Sheet2!AB18="yes",OR(Sheet2!AA15="both",Sheet2!AA15="Yes1",Sheet2!AA15="yes"),OR(N84="under1",N85="under2",V95="under1",V96="under2")),"success","unsccessfu")</f>
        <v/>
      </c>
      <c r="B69" s="105" t="inlineStr">
        <is>
          <t xml:space="preserve"> Sao Bernardo </t>
        </is>
      </c>
      <c r="C69" s="106" t="inlineStr">
        <is>
          <t xml:space="preserve"> Juventude </t>
        </is>
      </c>
      <c r="D69" s="107">
        <f>_xlfn.TEXTJOIN("/ ", ,L110,Sheet2!L77)</f>
        <v/>
      </c>
      <c r="E69" s="7">
        <f>IF(E66=E67,"","swiped")</f>
        <v/>
      </c>
      <c r="F69" s="7">
        <f>IF(ABS(F67-G67)&gt;1,"high",IF(ABS(F67-G67)&gt;0.6,"medium","low G"))</f>
        <v/>
      </c>
      <c r="G69" s="7">
        <f>_xlfn.TEXTJOIN(", ", ,Sheet2!D30,Sheet2!D32)</f>
        <v/>
      </c>
      <c r="H69" s="7">
        <f>CORREL(I6:I42,M6:M42)</f>
        <v/>
      </c>
      <c r="I69" s="7">
        <f>IF(I66=I67,"","swiped")</f>
        <v/>
      </c>
      <c r="J69" s="7">
        <f>IF(ABS(J67-K67)&gt;1,"high",IF(ABS(J67-K67)&gt;0.6,"medium","low G"))</f>
        <v/>
      </c>
      <c r="K69" s="7">
        <f>_xlfn.TEXTJOIN(", ", ,Sheet2!AC30,Sheet2!AC32)</f>
        <v/>
      </c>
      <c r="L69" s="7" t="n"/>
      <c r="M69" s="7">
        <f>IF(M66=M67,"","swiped")</f>
        <v/>
      </c>
      <c r="N69" s="7">
        <f>IF(ABS(N67-O67)&gt;1,"high",IF(ABS(N67-O67)&gt;0.6,"medium","low G"))</f>
        <v/>
      </c>
      <c r="O69" s="7">
        <f>_xlfn.TEXTJOIN(", ", ,Sheet2!BB30,Sheet2!BB32)</f>
        <v/>
      </c>
      <c r="P69" s="7" t="n"/>
      <c r="Q69" s="7">
        <f>IF(Q66=Q67,"","swiped")</f>
        <v/>
      </c>
      <c r="R69" s="7">
        <f>IF(ABS(R67-S67)&gt;1,"high",IF(ABS(R67-S67)&gt;0.6,"medium","low G"))</f>
        <v/>
      </c>
      <c r="S69" s="7">
        <f>_xlfn.TEXTJOIN(", ", ,Sheet2!CA30,Sheet2!CA32)</f>
        <v/>
      </c>
      <c r="T69" s="7" t="n"/>
      <c r="U69" s="7">
        <f>IF(U66=U67,"","swiped")</f>
        <v/>
      </c>
      <c r="V69" s="7">
        <f>IF(ABS(V67-W67)&gt;1,"high",IF(ABS(V67-W67)&gt;0.6,"medium","low G"))</f>
        <v/>
      </c>
      <c r="W69" s="108">
        <f>_xlfn.TEXTJOIN(", ", ,Sheet2!CZ30,Sheet2!CZ32)</f>
        <v/>
      </c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</row>
    <row r="70" ht="46.5" customHeight="1" s="276">
      <c r="A70" s="109">
        <f>_xlfn.TEXTJOIN(" / ", ,H54,IF(AND(A64="success",A69="success",B54=""),"GOOD","CHECK"))</f>
        <v/>
      </c>
      <c r="B70" s="3">
        <f>IF(W83&lt;&gt;W84,"",IF(OR(O89="hold1",O90="hold2"),"",_xlfn.TEXTJOIN("/ ", ,Sheet2!AA15,Sheet2!AA16,Sheet2!AA18,X83,Sheet2!AB18)))</f>
        <v/>
      </c>
      <c r="C70" s="3">
        <f>_xlfn.TEXTJOIN("/ ", ,Sheet2!N72,Sheet2!AM72,Sheet2!K74)</f>
        <v/>
      </c>
      <c r="D70" s="110">
        <f>M109</f>
        <v/>
      </c>
      <c r="E70" s="3">
        <f>Sheet2!C33</f>
        <v/>
      </c>
      <c r="F70" s="3">
        <f>IF(AND(D47="well",OR(E47="align",E47="full"),L75="",Sheet2!C34=1,OR(F69="medium",F69="high"),Sheet2!C28="high"),"double",IF(AND(D47="well",OR(E47="align",E47="full"),L75="",OR(Sheet2!C34=1,Sheet2!C34=2),OR(F69="high",F69="medium"),OR(Sheet2!C28="high",Sheet2!C28="low")),"handicap","hands off"))</f>
        <v/>
      </c>
      <c r="G70" s="3">
        <f>IF(AND(Sheet2!C33="no, no",F69="low G",F62="under",OR(Sheet2!C28="high",Sheet2!C28="low")),"under E48",IF(AND(OR(Sheet2!C33="yes, yes",Sheet2!C33="yes, no"),OR(F69="high",F69="high"),OR(G68="over3",G68="over"),OR(Sheet2!C28="high",Sheet2!C28="low",Sheet2!C28="medium", ),F62="over"),"over E48","over1.5"))</f>
        <v/>
      </c>
      <c r="H70" s="3">
        <f>_xlfn.TEXTJOIN("/", ,T95,U95,R99)</f>
        <v/>
      </c>
      <c r="I70" s="3">
        <f>Sheet2!AC16</f>
        <v/>
      </c>
      <c r="J70" s="3">
        <f>IF(AND(D48="well",OR(I47="align",I47="full"),L76="",Sheet2!AC15=1,OR(J69="medium",J69="high"),Sheet2!AB28="high"),"double",IF(AND(D48="well",OR(I47="align",I47="full"),L76="",OR(Sheet2!AC15=1,Sheet2!AC15=2),OR(J69="high",J69="medium"),OR(Sheet2!AB28="high",Sheet2!AB28="low")),"handicap","hands off"))</f>
        <v/>
      </c>
      <c r="K70" s="3">
        <f>IF(AND(Sheet2!AC15=1,J69="low G",J62="under",OR(Sheet2!AB28="high",Sheet2!AB28="low")),I48,IF(AND(Sheet2!AC15=3,OR(J69="high",J69="high"),OR(K68="over3",K68="over"),OR(Sheet2!AB28="high",Sheet2!AB28="low",Sheet2!AB28="medium", ),J62="over"),I48,"over1.5"))</f>
        <v/>
      </c>
      <c r="L70" s="3" t="n"/>
      <c r="M70" s="3">
        <f>Sheet2!BB16</f>
        <v/>
      </c>
      <c r="N70" s="3">
        <f>IF(AND(D54="well",OR(M47="align",M47="full"),L77="",Sheet2!BB15=1,OR(N69="medium",N69="high"),Sheet2!BA28="high"),"double",IF(AND(D54="well",OR(M47="align",M47="full"),L77="",OR(Sheet2!BB15=1,Sheet2!BB15=2),OR(N69="high",N69="medium"),OR(Sheet2!BA28="high",Sheet2!BA28="low")),"handicap","hands off"))</f>
        <v/>
      </c>
      <c r="O70" s="3">
        <f>IF(AND(Sheet2!BB15=1,N69="low G",N62="under",OR(Sheet2!BA28="high",Sheet2!BA28="low")),M48,IF(AND(Sheet2!BB15=3,OR(N69="high",N69="high"),OR(O68="over3",O68="over"),OR(Sheet2!BA28="high",Sheet2!BA28="low",Sheet2!BA28="medium", ),N62="over"),M48,"over1.5"))</f>
        <v/>
      </c>
      <c r="P70" s="3">
        <f>_xlfn.TEXTJOIN("/", ,T96,U96,R100)</f>
        <v/>
      </c>
      <c r="Q70" s="3">
        <f>Sheet2!CA16</f>
        <v/>
      </c>
      <c r="R70" s="3">
        <f>IF(AND(D61="well",OR(Q47="align",Q47="full"),L78="",Sheet2!CA15=1,OR(R69="medium",R69="high"),Sheet2!BZ28="high"),"double",IF(AND(OR(D61="well",OR(Q47="align",Q47="full"),L78="",Sheet2!CA15=1,Sheet2!CA15=2),OR(R69="high",R69="medium"),OR(Sheet2!BZ28,Sheet2!BZ28="high",Sheet2!BZ28="low")),"handicap","hands off"))</f>
        <v/>
      </c>
      <c r="S70" s="3">
        <f>IF(AND(Sheet2!CA15=1,R69="low G",R62="under",OR(Sheet2!BZ28="high",Sheet2!BZ28="low")),Q48,IF(AND(Sheet2!CA15=3,OR(R69="high",R69="high"),OR(S68="over3",S68="over"),OR(Sheet2!BZ28="high",Sheet2!BZ28="low",Sheet2!BZ28="medium", ),R62="over"),Q48,"over1.5"))</f>
        <v/>
      </c>
      <c r="T70" s="3" t="n"/>
      <c r="U70" s="3">
        <f>Sheet2!CZ16</f>
        <v/>
      </c>
      <c r="V70" s="3">
        <f>IF(AND(D62="well",OR(U47="align",U47="full"),L79="",Sheet2!CZ15=1,OR(V69="medium",V69="high"),Sheet2!CY28="high"),"double",IF(AND(D62="well",OR(U47="align",U47="full"),L79="",OR(Sheet2!CZ15=1,Sheet2!CZ15=2),OR(V69="high",V69="medium"),OR(Sheet2!CY28,Sheet2!CY28="high",Sheet2!CY28="low")),"handicap","hands off"))</f>
        <v/>
      </c>
      <c r="W70" s="3">
        <f>IF(AND(Sheet2!CZ15=1,V69="low G",V62="under",OR(Sheet2!CY28="high",Sheet2!CY28="low")),U48,IF(AND(Sheet2!CZ15=3,OR(V69="high",V69="high"),OR(W68="over3",W68="over"),OR(Sheet2!CY28="high",Sheet2!CY28="low",Sheet2!CY28="medium", ),V62="over"),U48,"over1.5"))</f>
        <v/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</row>
    <row r="71" hidden="1" ht="64.5" customHeight="1" s="276">
      <c r="A71" s="7" t="n"/>
      <c r="B71" s="7" t="n"/>
      <c r="C71" s="7" t="n"/>
      <c r="D71" s="7" t="n"/>
      <c r="E71" s="7">
        <f>IF(AND(Sheet2!D30="all equal",Sheet2!C28="low",OR(G68="under2",G68="under1",G68="u1.5",G68="u2.5")),"u2.5")</f>
        <v/>
      </c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</row>
    <row r="72" hidden="1" ht="47.25" customHeight="1" s="276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</row>
    <row r="73" hidden="1" ht="39.75" customHeight="1" s="27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</row>
    <row r="74" ht="36" customHeight="1" s="276">
      <c r="A74" s="3">
        <f>ROUND(AVERAGE(P97,P98),0)</f>
        <v/>
      </c>
      <c r="B74" s="111">
        <f>_xlfn.TEXTJOIN(" /", ,IF(A106="Ex",A106,""),IF(AND(B105&gt;60,B70&lt;&gt;"",A74&gt;70),B106,""))</f>
        <v/>
      </c>
      <c r="C74" s="112">
        <f>IF(Sheet2!L77="double","check",IF(OR(E114="no",Sheet2!Y25="D'over"),"no",_xlfn.TEXTJOIN("/ ", ,M110,M108)))</f>
        <v/>
      </c>
      <c r="D74" s="65">
        <f>_xlfn.TEXTJOIN("/ ", ,IF(Sheet2!R23="best Tab 2",Sheet2!Q13,Sheet2!Q13),Sheet2!R23)</f>
        <v/>
      </c>
      <c r="E74" s="65">
        <f>IF(A64="","",IF(B5="","",IF(AND(A54="",OR(Sheet2!O3="good",Sheet2!O3="wow")),C115,IF(Sheet2!O3="wow",C115,IF(Sheet2!O3="bad","",C114)))))</f>
        <v/>
      </c>
      <c r="F74" s="65" t="inlineStr">
        <is>
          <t>Determinat</t>
        </is>
      </c>
      <c r="G74" s="65" t="inlineStr">
        <is>
          <t xml:space="preserve">suppressant </t>
        </is>
      </c>
      <c r="H74" s="65" t="inlineStr">
        <is>
          <t>S.confirmed</t>
        </is>
      </c>
      <c r="I74" s="65" t="inlineStr">
        <is>
          <t>level</t>
        </is>
      </c>
      <c r="J74" s="65" t="inlineStr">
        <is>
          <t>wins</t>
        </is>
      </c>
      <c r="K74" s="65" t="inlineStr">
        <is>
          <t>goals</t>
        </is>
      </c>
      <c r="L74" s="65" t="inlineStr">
        <is>
          <t xml:space="preserve">swiping </t>
        </is>
      </c>
      <c r="M74" s="3" t="inlineStr">
        <is>
          <t xml:space="preserve">percentage </t>
        </is>
      </c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</row>
    <row r="75" hidden="1" ht="20.25" customHeight="1" s="276">
      <c r="A75" s="7">
        <f>R75</f>
        <v/>
      </c>
      <c r="B75" s="7">
        <f>_xlfn.TEXTJOIN("/", ,1,H91,W75)</f>
        <v/>
      </c>
      <c r="C75" s="7">
        <f>_xlfn.TEXTJOIN(" vs ", ,F48,G48)</f>
        <v/>
      </c>
      <c r="D75" s="7">
        <f>_xlfn.TEXTJOIN(", ", ,$E$48,E47,G91,B102)</f>
        <v/>
      </c>
      <c r="E75" s="7">
        <f>E70</f>
        <v/>
      </c>
      <c r="F75" s="7">
        <f>F69</f>
        <v/>
      </c>
      <c r="G75" s="7">
        <f>F62</f>
        <v/>
      </c>
      <c r="H75" s="7">
        <f>G68</f>
        <v/>
      </c>
      <c r="I75" s="7">
        <f>Sheet2!C28</f>
        <v/>
      </c>
      <c r="J75" s="7">
        <f>F70</f>
        <v/>
      </c>
      <c r="K75" s="113">
        <f>IF(AND(L75="",D47="well",OR(E47="align",E47="full"),E75="no, no",OR(F75="low G",F75="medium"),G75="under",OR(H75="u1.5",H75="u2.5",H75="under1",H75="under2"),I75="low"),"under G",IF(AND(L75="",D47="well",OR(E47="align",E47="full"),E75="no, no",OR(F75="low G",F75="medium"),G75="under",OR(H75="u1.5",H75="u2.5",H75="under1",H75="under2",H75="over3"),OR(I75="low",I75="high")),"under G+1","over1.5"))</f>
        <v/>
      </c>
      <c r="L75" s="7">
        <f>E69</f>
        <v/>
      </c>
      <c r="M75" s="114">
        <f>K81/L81</f>
        <v/>
      </c>
      <c r="N75" s="114">
        <f>I86/J86</f>
        <v/>
      </c>
      <c r="O75" s="114">
        <f>AVERAGE(M75,N75)</f>
        <v/>
      </c>
      <c r="P75" s="114">
        <f>ABS(M75-N75)</f>
        <v/>
      </c>
      <c r="Q75" s="114">
        <f>AVERAGE(O75,P75)</f>
        <v/>
      </c>
      <c r="R75" s="7">
        <f>_xlfn.TEXTJOIN(", ", ,K75,IF(AND(N75&gt;M75,Q75&gt;55%),"winover",IF(AND(M75&gt;N75,Q75&lt;48%),"under1.5",IF(AND(M75&gt;N75,Q75&gt;50%),"under","wait"))))</f>
        <v/>
      </c>
      <c r="S75" s="114">
        <f>AVERAGE(O75,Q75)</f>
        <v/>
      </c>
      <c r="T75" s="114">
        <f>AVERAGE(Q75,O75)-(O75-Q75)</f>
        <v/>
      </c>
      <c r="U75" s="7">
        <f>IF(AND(V75&lt;23%,V75&gt;-2%,OR(S75&gt;T75,T75&gt;S75)),"yes1",IF(OR(T75=S75,T75&gt;S75),"Yes","No"))</f>
        <v/>
      </c>
      <c r="V75" s="114">
        <f>S75-T75</f>
        <v/>
      </c>
      <c r="W75" s="7">
        <f>Sheet2!M17</f>
        <v/>
      </c>
      <c r="X75" s="7">
        <f>IF(AND(G75="over",H75="over"),0,1)</f>
        <v/>
      </c>
      <c r="Y75" s="7">
        <f>IF(AND(U75="no",H91="not set"),"NO","YES")</f>
        <v/>
      </c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</row>
    <row r="76" hidden="1" ht="25.5" customHeight="1" s="276">
      <c r="A76" s="3">
        <f>R76</f>
        <v/>
      </c>
      <c r="B76" s="3">
        <f>_xlfn.TEXTJOIN("/", ,2,H92,W76)</f>
        <v/>
      </c>
      <c r="C76" s="15">
        <f>_xlfn.TEXTJOIN(" vs ", ,J48,K48)</f>
        <v/>
      </c>
      <c r="D76" s="15">
        <f>_xlfn.TEXTJOIN(", ", ,$E$48,I47,G92,P99)</f>
        <v/>
      </c>
      <c r="E76" s="15">
        <f>I70</f>
        <v/>
      </c>
      <c r="F76" s="15">
        <f>J69</f>
        <v/>
      </c>
      <c r="G76" s="15">
        <f>J62</f>
        <v/>
      </c>
      <c r="H76" s="15">
        <f>K68</f>
        <v/>
      </c>
      <c r="I76" s="15">
        <f>Sheet2!AB28</f>
        <v/>
      </c>
      <c r="J76" s="15">
        <f>J70</f>
        <v/>
      </c>
      <c r="K76" s="3">
        <f>IF(AND(L76="",D48="well",OR(E47="align",E47="full"),E76="no, no",OR(F76="low G",F76="medium"),G76="under",OR(H76="u1.5",H76="u2.5",H76="under1",H76="under2"),I76="low"),"under G",IF(AND(L76="",D48="well",OR(E47="align",I47="full"),E76="no, no",OR(F76="low G",F76="medium"),G76="under",OR(H76="u1.5",H76="u2.5",H76="under1",H76="under2",H76="over3"),OR(I76="low",I76="high")),"under G+1","over1.5"))</f>
        <v/>
      </c>
      <c r="L76" s="15">
        <f>I69</f>
        <v/>
      </c>
      <c r="M76" s="115">
        <f>K82/L82</f>
        <v/>
      </c>
      <c r="N76" s="115">
        <f>I87/J87</f>
        <v/>
      </c>
      <c r="O76" s="115">
        <f>AVERAGE(M76,N76)</f>
        <v/>
      </c>
      <c r="P76" s="115">
        <f>ABS(M76-N76)</f>
        <v/>
      </c>
      <c r="Q76" s="115">
        <f>AVERAGE(O76,P76)</f>
        <v/>
      </c>
      <c r="R76" s="3">
        <f>_xlfn.TEXTJOIN(", ", ,K76,IF(AND(N76&gt;M76,Q76&gt;55%),"winover",IF(AND(M76&gt;N76,Q76&lt;48%),"under1.5",IF(AND(M76&gt;N76,Q76&gt;50%),"under","wait"))))</f>
        <v/>
      </c>
      <c r="S76" s="115">
        <f>AVERAGE(O76,Q76)</f>
        <v/>
      </c>
      <c r="T76" s="115">
        <f>AVERAGE(Q76,O76)-(O76-Q76)</f>
        <v/>
      </c>
      <c r="U76" s="3">
        <f>IF(AND(V76&lt;23%,V76&gt;-2%,OR(S76&gt;T76,T76&gt;S76)),"yes1",IF(OR(T76=S76,T76&gt;S76),"Yes","No"))</f>
        <v/>
      </c>
      <c r="V76" s="115">
        <f>S76-T76</f>
        <v/>
      </c>
      <c r="W76" s="3">
        <f>Sheet2!AL17</f>
        <v/>
      </c>
      <c r="X76" s="3">
        <f>IF(AND(G76="over",H76="over"),0,1)</f>
        <v/>
      </c>
      <c r="Y76" s="3">
        <f>IF(AND(U76="no",H92="not set"),"NO","YES")</f>
        <v/>
      </c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</row>
    <row r="77" hidden="1" ht="32.25" customHeight="1" s="276">
      <c r="A77" s="7">
        <f>R77</f>
        <v/>
      </c>
      <c r="B77" s="7">
        <f>_xlfn.TEXTJOIN("/", ,3,H93,W77)</f>
        <v/>
      </c>
      <c r="C77" s="7">
        <f>_xlfn.TEXTJOIN(" vs ", ,N48,O48)</f>
        <v/>
      </c>
      <c r="D77" s="7">
        <f>_xlfn.TEXTJOIN(", ", ,$E$48,M47,G93,B103)</f>
        <v/>
      </c>
      <c r="E77" s="7">
        <f>M70</f>
        <v/>
      </c>
      <c r="F77" s="7">
        <f>N69</f>
        <v/>
      </c>
      <c r="G77" s="7">
        <f>N62</f>
        <v/>
      </c>
      <c r="H77" s="7">
        <f>O68</f>
        <v/>
      </c>
      <c r="I77" s="7">
        <f>Sheet2!BA28</f>
        <v/>
      </c>
      <c r="J77" s="7">
        <f>N70</f>
        <v/>
      </c>
      <c r="K77" s="7">
        <f>IF(AND(L77="",D54="well",OR(M47="align",M47="full"),E77="no, no",OR(F77="low G",F77="medium"),G77="under",OR(H77="u1.5",H77="u2.5",H77="under1",H77="under2"),I77="low"),"under G",IF(AND(L77="",D54="well",OR(M47="align",M47="full"),E77="no, no",OR(F77="low G",F77="medium"),G77="under",OR(H77="u1.5",H77="u2.5",H77="under1",H77="under2",H77="over3"),OR(I77="low",I77="high")),"under G+1","over1.5"))</f>
        <v/>
      </c>
      <c r="L77" s="7">
        <f>M69</f>
        <v/>
      </c>
      <c r="M77" s="114">
        <f>K83/L83</f>
        <v/>
      </c>
      <c r="N77" s="114">
        <f>I88/J88</f>
        <v/>
      </c>
      <c r="O77" s="114">
        <f>AVERAGE(M77,N77)</f>
        <v/>
      </c>
      <c r="P77" s="114">
        <f>ABS(M77-N77)</f>
        <v/>
      </c>
      <c r="Q77" s="114">
        <f>AVERAGE(O77,P77)</f>
        <v/>
      </c>
      <c r="R77" s="7">
        <f>_xlfn.TEXTJOIN(", ", ,K77,IF(AND(N77&gt;M77,Q77&gt;55%),"winover",IF(AND(M77&gt;N77,Q77&lt;48%),"under1.5",IF(AND(M77&gt;N77,Q77&gt;50%),"under","wait"))))</f>
        <v/>
      </c>
      <c r="S77" s="114">
        <f>AVERAGE(O77,Q77)</f>
        <v/>
      </c>
      <c r="T77" s="114">
        <f>AVERAGE(Q77,O77)-(O77-Q77)</f>
        <v/>
      </c>
      <c r="U77" s="7">
        <f>IF(AND(V77&lt;23%,V77&gt;-2%,OR(S77&gt;T77,T77&gt;S77)),"yes1",IF(OR(T77=S77,T77&gt;S77),"Yes","No"))</f>
        <v/>
      </c>
      <c r="V77" s="114">
        <f>S77-T77</f>
        <v/>
      </c>
      <c r="W77" s="7">
        <f>Sheet2!BK17</f>
        <v/>
      </c>
      <c r="X77" s="7">
        <f>IF(AND(G77="over",H77="over"),0,1)</f>
        <v/>
      </c>
      <c r="Y77" s="7">
        <f>IF(AND(U77="no",H93="not set"),"NO","YES")</f>
        <v/>
      </c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</row>
    <row r="78" ht="39" customHeight="1" s="276">
      <c r="A78" s="63">
        <f>R78</f>
        <v/>
      </c>
      <c r="B78" s="63">
        <f>_xlfn.TEXTJOIN("/", ,4,H94,W78)</f>
        <v/>
      </c>
      <c r="C78" s="116">
        <f>_xlfn.TEXTJOIN(" vs ", ,R48,S48)</f>
        <v/>
      </c>
      <c r="D78" s="63">
        <f>_xlfn.TEXTJOIN(", ", ,$E$48,Q47,G94,P100)</f>
        <v/>
      </c>
      <c r="E78" s="15">
        <f>Q70</f>
        <v/>
      </c>
      <c r="F78" s="15">
        <f>R69</f>
        <v/>
      </c>
      <c r="G78" s="15">
        <f>R62</f>
        <v/>
      </c>
      <c r="H78" s="15">
        <f>S68</f>
        <v/>
      </c>
      <c r="I78" s="15">
        <f>Sheet2!BZ28</f>
        <v/>
      </c>
      <c r="J78" s="15">
        <f>R70</f>
        <v/>
      </c>
      <c r="K78" s="3">
        <f>IF(AND(L78="",D61="well",OR(Q47="align",Q47="full"),E78="no, no",OR(F78="low G",F78="medium"),G78="under",OR(H78="u1.5",H78="u2.5",H78="under1",H78="under2"),I78="low"),"under G",IF(AND(L78="",D61="well",OR(Q47="align",Q47="full"),E78="no, no",OR(F78="low G",F78="medium"),G78="under",OR(H78="u1.5",H78="u2.5",H78="under1",H78="under2",H78="over3"),OR(I78="low",I78="high")),"under G+1","over1.5"))</f>
        <v/>
      </c>
      <c r="L78" s="15">
        <f>Q69</f>
        <v/>
      </c>
      <c r="M78" s="115">
        <f>K84/L84</f>
        <v/>
      </c>
      <c r="N78" s="115">
        <f>I89/J89</f>
        <v/>
      </c>
      <c r="O78" s="115">
        <f>AVERAGE(M78,N78)</f>
        <v/>
      </c>
      <c r="P78" s="115">
        <f>ABS(M78-N78)</f>
        <v/>
      </c>
      <c r="Q78" s="115">
        <f>AVERAGE(O78,P78)</f>
        <v/>
      </c>
      <c r="R78" s="3">
        <f>_xlfn.TEXTJOIN(", ", ,K78,IF(AND(N78&gt;M78,Q78&gt;55%),"winover",IF(AND(M78&gt;N78,Q78&lt;48%),"under1.5",IF(AND(M78&gt;N78,Q78&gt;50%),"under","wait"))))</f>
        <v/>
      </c>
      <c r="S78" s="115">
        <f>AVERAGE(O78,Q78)</f>
        <v/>
      </c>
      <c r="T78" s="115">
        <f>AVERAGE(Q78,O78)-(O78-Q78)</f>
        <v/>
      </c>
      <c r="U78" s="3">
        <f>IF(AND(V78&lt;23%,V78&gt;-2%,OR(S78&gt;T78,T78&gt;S78)),"yes1",IF(OR(T78=S78,T78&gt;S78),"Yes","No"))</f>
        <v/>
      </c>
      <c r="V78" s="115">
        <f>S78-T78</f>
        <v/>
      </c>
      <c r="W78" s="3">
        <f>Sheet2!CJ17</f>
        <v/>
      </c>
      <c r="X78" s="3">
        <f>IF(AND(G78="over",H78="over"),0,1)</f>
        <v/>
      </c>
      <c r="Y78" s="3">
        <f>IF(AND(U78="no",H94="not set"),"NO","YES")</f>
        <v/>
      </c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</row>
    <row r="79" ht="15.75" customHeight="1" s="276">
      <c r="A79" s="117">
        <f>_xlfn.TEXTJOIN(" /", ,_xlfn.IFERROR(F114,""),_xlfn.IFERROR(R79,""))</f>
        <v/>
      </c>
      <c r="B79" s="4">
        <f>B85</f>
        <v/>
      </c>
      <c r="C79" s="4">
        <f>_xlfn.TEXTJOIN(" vs ", , ,V48,W48)</f>
        <v/>
      </c>
      <c r="D79" s="4">
        <f>_xlfn.TEXTJOIN(", ", ,$E$48,U47,G95)</f>
        <v/>
      </c>
      <c r="E79" s="7">
        <f>U70</f>
        <v/>
      </c>
      <c r="F79" s="7">
        <f>V69</f>
        <v/>
      </c>
      <c r="G79" s="7">
        <f>V62</f>
        <v/>
      </c>
      <c r="H79" s="7">
        <f>W68</f>
        <v/>
      </c>
      <c r="I79" s="7">
        <f>Sheet2!CY28</f>
        <v/>
      </c>
      <c r="J79" s="7">
        <f>V70</f>
        <v/>
      </c>
      <c r="K79" s="7">
        <f>IF(AND(L79="",D62="well",OR(U47="align",U47="full"),E79="no, no",OR(F79="low G",F79="medium"),G79="under",OR(H79="u1.5",H79="u2.5",H79="under1",H79="under2"),I79="low"),"under G",IF(AND(L79="",D62="well",OR(U47="align",U47="full"),E79="no, no",OR(F79="low G",F79="medium"),G79="under",OR(H79="u1.5",H79="u2.5",H79="under1",H79="under2",H79="over3"),OR(I79="low",I79="high")),"under G+1","over1.5"))</f>
        <v/>
      </c>
      <c r="L79" s="7">
        <f>U69</f>
        <v/>
      </c>
      <c r="M79" s="114">
        <f>K85/L85</f>
        <v/>
      </c>
      <c r="N79" s="114">
        <f>I90/J90</f>
        <v/>
      </c>
      <c r="O79" s="114">
        <f>AVERAGE(M79,N79)</f>
        <v/>
      </c>
      <c r="P79" s="114">
        <f>ABS(M79-N79)</f>
        <v/>
      </c>
      <c r="Q79" s="114">
        <f>AVERAGE(O79,P79)</f>
        <v/>
      </c>
      <c r="R79" s="7">
        <f>_xlfn.TEXTJOIN(", ", ,K79,IF(AND(N79&gt;M79,Q79&gt;55%),"winover",IF(AND(M79&gt;N79,Q79&lt;48%),"under1.5",IF(AND(M79&gt;N79,Q79&gt;50%),"under","wait"))))</f>
        <v/>
      </c>
      <c r="S79" s="114">
        <f>AVERAGE(O79,Q79)</f>
        <v/>
      </c>
      <c r="T79" s="114">
        <f>AVERAGE(Q79,O79)-(O79-Q79)</f>
        <v/>
      </c>
      <c r="U79" s="7">
        <f>IF(AND(V79&lt;23%,V79&gt;-2%,OR(S79&gt;T79,T79&gt;S79)),"yes1",IF(OR(T79=S79,T79&gt;S79),"Yes","No"))</f>
        <v/>
      </c>
      <c r="V79" s="114">
        <f>S79-T79</f>
        <v/>
      </c>
      <c r="W79" s="7">
        <f>Sheet2!DI17</f>
        <v/>
      </c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</row>
    <row r="80" hidden="1" ht="69" customHeight="1" s="276">
      <c r="A80" s="3" t="n"/>
      <c r="B80" s="3" t="n"/>
      <c r="C80" s="63" t="inlineStr">
        <is>
          <t>.</t>
        </is>
      </c>
      <c r="D80" s="6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</row>
    <row r="81" hidden="1" ht="66.75" customHeight="1" s="276">
      <c r="A81" s="108" t="n"/>
      <c r="B81" s="108" t="n"/>
      <c r="C81" s="118">
        <f>IF(D47="well",1,"")</f>
        <v/>
      </c>
      <c r="D81" s="118">
        <f>IF(OR(E47="align",E47="full"),1,"")</f>
        <v/>
      </c>
      <c r="E81" s="108">
        <f>IF(E75="no, no",1,"")</f>
        <v/>
      </c>
      <c r="F81" s="108">
        <f>IF(F75="low G",1,"")</f>
        <v/>
      </c>
      <c r="G81" s="108">
        <f>IF(G75="under",1,"")</f>
        <v/>
      </c>
      <c r="H81" s="108">
        <f>IF(AND(G75="over",H75="over"),-1,IF(OR(H75="under1",H75="under2",H75="over3"),1,""))</f>
        <v/>
      </c>
      <c r="I81" s="108">
        <f>IF(OR(I75="low",I75="medium"),1,"")</f>
        <v/>
      </c>
      <c r="J81" s="108">
        <f>IF(L75="",1,-1)</f>
        <v/>
      </c>
      <c r="K81" s="108">
        <f>SUM(C81:I81)+J81</f>
        <v/>
      </c>
      <c r="L81" s="108">
        <f>COUNTA(C81:J81)</f>
        <v/>
      </c>
      <c r="M81" s="119">
        <f>IF(X75=1,1,0)+IF(Y75="YES",1,0)+IF(X76=1,1,0)+IF(Y76="YES",1,0)</f>
        <v/>
      </c>
      <c r="N81" s="120">
        <f>IF(OR(L75="swiped",L76="swiped"),1,0)+IF(OR(K75="under G+1",K76="under G+1"),1,0)+IF(OR(Sheet2!D33="yes",Sheet2!D55="yes",Sheet2!AC55="yes",Sheet2!AC17="yes"),1,0)+IF(OR(L88="winover",L89="winover"),1,0)</f>
        <v/>
      </c>
      <c r="O81" s="120">
        <f>N81/4*100</f>
        <v/>
      </c>
      <c r="P81" s="108">
        <f>IF(S86="check",1,2)</f>
        <v/>
      </c>
      <c r="Q81" s="108">
        <f>IF(T90="careful",2,IF(T90="",3,1))</f>
        <v/>
      </c>
      <c r="R81" s="108">
        <f>IF(Sheet2!Y25="add",2,IF(Sheet2!Y25="go",3,1))</f>
        <v/>
      </c>
      <c r="S81" s="121">
        <f>SUM(P81:R81)/8</f>
        <v/>
      </c>
      <c r="T81" s="108">
        <f>IF(S81&gt;49%,L96,IF(S81&gt;60,L96,"over"))</f>
        <v/>
      </c>
      <c r="U81" s="108">
        <f>IF(AND(S81&gt;74%,O89="move1"),T81,"wait")</f>
        <v/>
      </c>
      <c r="V81" s="122">
        <f>IF(AND(S81&gt;62%,W83&lt;4,U81&lt;&gt;"wait"),T81,IF(AND(S81&gt;62%,W83&lt;4,Q86&lt;&gt;"add"),T81,"wait"))</f>
        <v/>
      </c>
      <c r="W81" s="122">
        <f>IF(AND(S81=S82,U81=U82,W83=W84,V81&gt;1),"success","check")</f>
        <v/>
      </c>
      <c r="X81" s="122" t="n"/>
      <c r="Y81" s="108" t="n"/>
      <c r="Z81" s="108" t="n"/>
      <c r="AA81" s="108" t="n"/>
      <c r="AB81" s="108" t="n"/>
      <c r="AC81" s="108" t="n"/>
      <c r="AD81" s="108" t="n"/>
      <c r="AE81" s="108" t="n"/>
      <c r="AF81" s="108" t="n"/>
      <c r="AG81" s="108" t="n"/>
      <c r="AH81" s="108" t="n"/>
      <c r="AI81" s="108" t="n"/>
      <c r="AJ81" s="108" t="n"/>
      <c r="AK81" s="108" t="n"/>
      <c r="AL81" s="108" t="n"/>
      <c r="AM81" s="108" t="n"/>
    </row>
    <row r="82" hidden="1" ht="46.5" customHeight="1" s="276">
      <c r="A82" s="3" t="n"/>
      <c r="B82" s="3" t="n"/>
      <c r="C82" s="63">
        <f>IF(D48="well",1,"")</f>
        <v/>
      </c>
      <c r="D82" s="63">
        <f>IF(OR(I47="align",I47="full"),1,"")</f>
        <v/>
      </c>
      <c r="E82" s="3">
        <f>IF(E76="no, no",1,"")</f>
        <v/>
      </c>
      <c r="F82" s="3">
        <f>IF(F76="low G",1,"")</f>
        <v/>
      </c>
      <c r="G82" s="3">
        <f>IF(G76="under",1,"")</f>
        <v/>
      </c>
      <c r="H82" s="3">
        <f>IF(AND(G76="over",H76="over"),-1,IF(OR(H76="under1",H76="under2",H76="over3"),1,""))</f>
        <v/>
      </c>
      <c r="I82" s="3">
        <f>IF(OR(I76="low",I76="medium"),1,"")</f>
        <v/>
      </c>
      <c r="J82" s="3">
        <f>IF(L76="",1,-1)</f>
        <v/>
      </c>
      <c r="K82" s="3">
        <f>SUM(C82:I82)+J82</f>
        <v/>
      </c>
      <c r="L82" s="3">
        <f>COUNTA(C82:J82)</f>
        <v/>
      </c>
      <c r="M82" s="123" t="n"/>
      <c r="N82" s="124" t="n"/>
      <c r="O82" s="124" t="n"/>
      <c r="P82" s="65">
        <f>IF(S87="check",1,2)</f>
        <v/>
      </c>
      <c r="Q82" s="65">
        <f>IF(T91="careful",2,IF(T91="",3,1))</f>
        <v/>
      </c>
      <c r="R82" s="3">
        <f>IF(Sheet2!BW25="add",2,IF(Sheet2!BW25="go",3,1))</f>
        <v/>
      </c>
      <c r="S82" s="125">
        <f>SUM(P82:R82)/8</f>
        <v/>
      </c>
      <c r="T82" s="65">
        <f>IF(S82&gt;49%,L96,IF(S82&gt;60,L96,"over"))</f>
        <v/>
      </c>
      <c r="U82" s="65">
        <f>IF(AND(S82&gt;74%,O90="move2"),T82,"wait")</f>
        <v/>
      </c>
      <c r="V82" s="126">
        <f>IF(AND(S82&gt;62%,W84&lt;4,U82&lt;&gt;"wait"),T82,IF(AND(S82&gt;62%,W84&lt;4,Q87&lt;&gt;"add"),T82,"wait"))</f>
        <v/>
      </c>
      <c r="W82" s="60" t="n"/>
      <c r="X82" s="60" t="n"/>
      <c r="Y82" s="3" t="n"/>
      <c r="Z82" s="60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</row>
    <row r="83" ht="51.65" customHeight="1" s="276">
      <c r="A83" s="7" t="n"/>
      <c r="B83" s="7" t="n"/>
      <c r="C83" s="4">
        <f>IF(D60="well",1,"")</f>
        <v/>
      </c>
      <c r="D83" s="4">
        <f>IF(OR(M47="align",M47="full"),1,"")</f>
        <v/>
      </c>
      <c r="E83" s="7">
        <f>IF(E77="no, no",1,"")</f>
        <v/>
      </c>
      <c r="F83" s="7">
        <f>IF(F77="low G",1,"")</f>
        <v/>
      </c>
      <c r="G83" s="7">
        <f>IF(G77="under",1,"")</f>
        <v/>
      </c>
      <c r="H83" s="7">
        <f>IF(AND(G77="over",H77="over"),-1,IF(OR(H77="under1",H77="under2",H77="over3"),1,""))</f>
        <v/>
      </c>
      <c r="I83" s="7">
        <f>IF(OR(I77="low",I77="medium"),1,"")</f>
        <v/>
      </c>
      <c r="J83" s="7">
        <f>IF(L77="",1,-1)</f>
        <v/>
      </c>
      <c r="K83" s="7">
        <f>SUM(C83:I83)+J83</f>
        <v/>
      </c>
      <c r="L83" s="7">
        <f>COUNTA(C83:J83)</f>
        <v/>
      </c>
      <c r="M83" s="127">
        <f>IF(X77=1,1,0)+IF(Y77="YES",1,0)+IF(X78=1,1,0)+IF(Y78="YES",1,0)</f>
        <v/>
      </c>
      <c r="N83" s="128">
        <f>IF(OR(L77="swiped",L78="swiped"),1,0)+IF(OR(K77="under G+1",K78="under G+1"),1,0)+IF(OR(Sheet2!BB17="yes",Sheet2!BB55="yes",Sheet2!CA17="yes",Sheet2!CA55="yes"),1,0)+IF(OR(L90="winover",L91="winover"),1,0)</f>
        <v/>
      </c>
      <c r="O83" s="128">
        <f>N83/4*100</f>
        <v/>
      </c>
      <c r="P83" s="7">
        <f>IF(R88&lt;&gt;"",1,"")</f>
        <v/>
      </c>
      <c r="Q83" s="7">
        <f>IF(Q88&lt;&gt;"",1,"")</f>
        <v/>
      </c>
      <c r="R83" s="7">
        <f>IF(Q86&lt;&gt;"",1,"")</f>
        <v/>
      </c>
      <c r="S83" s="7">
        <f>IF(P88&lt;&gt;"",1,"")</f>
        <v/>
      </c>
      <c r="T83" s="129">
        <f>IF(R93&lt;&gt;"",1,"")</f>
        <v/>
      </c>
      <c r="U83" s="7">
        <f>IF(T88&lt;&gt;"",1,"")</f>
        <v/>
      </c>
      <c r="V83" s="7">
        <f>IF(Sheet2!F40&lt;&gt;"",1,"")</f>
        <v/>
      </c>
      <c r="W83" s="7">
        <f>COUNT(P83:V83)</f>
        <v/>
      </c>
      <c r="X83" s="129">
        <f>SUM(W83,W84)</f>
        <v/>
      </c>
      <c r="Y83" s="7" t="n"/>
      <c r="Z83" s="129" t="n"/>
      <c r="AA83" s="129" t="n"/>
      <c r="AB83" s="129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</row>
    <row r="84" ht="15.3" customHeight="1" s="276">
      <c r="A84" s="3" t="n"/>
      <c r="B84" s="3">
        <f>_xlfn.TEXTJOIN("/ ", ,M110,M108)</f>
        <v/>
      </c>
      <c r="C84" s="63">
        <f>IF(D61="well",1,"")</f>
        <v/>
      </c>
      <c r="D84" s="63">
        <f>IF(OR(Q47="align",Q47="full"),1,"")</f>
        <v/>
      </c>
      <c r="E84" s="3">
        <f>IF(E78="no, no",1,"")</f>
        <v/>
      </c>
      <c r="F84" s="3">
        <f>IF(F78="low G",1,"")</f>
        <v/>
      </c>
      <c r="G84" s="3">
        <f>IF(G78="under",1,"")</f>
        <v/>
      </c>
      <c r="H84" s="3">
        <f>IF(AND(G78="over",H78="over"),-1,IF(OR(H78="under1",H78="under2",H78="over3"),1,""))</f>
        <v/>
      </c>
      <c r="I84" s="3">
        <f>IF(OR(I78="low",I78="medium"),1,"")</f>
        <v/>
      </c>
      <c r="J84" s="3">
        <f>IF(L78="",1,-1)</f>
        <v/>
      </c>
      <c r="K84" s="3">
        <f>SUM(C84:I84)+J84</f>
        <v/>
      </c>
      <c r="L84" s="3">
        <f>COUNTA(C84:J84)</f>
        <v/>
      </c>
      <c r="M84" s="3">
        <f>IF(OR(E63="precised1",E63="precised2",I63="precised1",I63="precised2",AND(C46="settled",C47="high")),"+1","yes")</f>
        <v/>
      </c>
      <c r="N84" s="3">
        <f>IF(AND(M84="+1",V99="D+",U99="under1"),"under1",IF(AND(M84="yes",U99="under1"),"under1","check1"))</f>
        <v/>
      </c>
      <c r="O84" s="3">
        <f>IF(M84="yes","Go1","")</f>
        <v/>
      </c>
      <c r="P84" s="3">
        <f>IF(R90&lt;&gt;"",1,"")</f>
        <v/>
      </c>
      <c r="Q84" s="3">
        <f>IF(Q90&lt;&gt;"",1,"")</f>
        <v/>
      </c>
      <c r="R84" s="3">
        <f>IF(Q87&lt;&gt;"",1,"")</f>
        <v/>
      </c>
      <c r="S84" s="3">
        <f>IF(P90&lt;&gt;"",1,"")</f>
        <v/>
      </c>
      <c r="T84" s="60">
        <f>IF(R94&lt;&gt;"",1,"")</f>
        <v/>
      </c>
      <c r="U84" s="3">
        <f>IF(U88&lt;&gt;"",1,"")</f>
        <v/>
      </c>
      <c r="V84" s="3">
        <f>IF(Sheet2!BE39&lt;&gt;"",1,"")</f>
        <v/>
      </c>
      <c r="W84" s="3">
        <f>COUNT(P84:V84)</f>
        <v/>
      </c>
      <c r="X84" s="60" t="n"/>
      <c r="Y84" s="3" t="n"/>
      <c r="Z84" s="3" t="n"/>
      <c r="AA84" s="3" t="n"/>
      <c r="AB84" s="60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</row>
    <row r="85" hidden="1" ht="73.84999999999999" customHeight="1" s="276">
      <c r="A85" s="7" t="n"/>
      <c r="B85" s="130">
        <f>IF(AND(B84="set1/ not set",C74="set1/ not set"),"Double",IF(AND(B84="set1/ set",C74="set1/ set"),"under",IF(AND(B84="set1/ set",C74="check"),"DOUBLE","Check")))</f>
        <v/>
      </c>
      <c r="C85" s="7">
        <f>IF(D62="well",1,"")</f>
        <v/>
      </c>
      <c r="D85" s="7">
        <f>IF(OR(U47="align",U47="full"),1,"")</f>
        <v/>
      </c>
      <c r="E85" s="7">
        <f>IF(E79="no, no",1,"")</f>
        <v/>
      </c>
      <c r="F85" s="7">
        <f>IF(F79="low G",1,"")</f>
        <v/>
      </c>
      <c r="G85" s="7">
        <f>IF(G79="under",1,"")</f>
        <v/>
      </c>
      <c r="H85" s="7">
        <f>IF(AND(G79="over",H79="over"),-1,IF(OR(H79="under1",H79="under2",H79="over3"),1,""))</f>
        <v/>
      </c>
      <c r="I85" s="7">
        <f>IF(OR(I79="low",I79="medium"),1,"")</f>
        <v/>
      </c>
      <c r="J85" s="7">
        <f>IF(L79="",1,-1)</f>
        <v/>
      </c>
      <c r="K85" s="7">
        <f>SUM(C85:I85)+J85</f>
        <v/>
      </c>
      <c r="L85" s="7">
        <f>COUNTA(C85:J85)</f>
        <v/>
      </c>
      <c r="M85" s="7">
        <f>IF(OR(M63="precised1",M63="precised2",Q63="precised1",Q63="precised2",AND(C46="settled",C47="high")),"+1","yes")</f>
        <v/>
      </c>
      <c r="N85" s="7">
        <f>IF(AND(M85="+1",V100="D+",U100="under2"),"under2",IF(AND(M85="yes",U100="under2"),"under2","check2"))</f>
        <v/>
      </c>
      <c r="O85" s="7">
        <f>IF(M85="yes","Go2","")</f>
        <v/>
      </c>
      <c r="P85" s="7" t="n"/>
      <c r="Q85" s="7" t="n"/>
      <c r="R85" s="7" t="n"/>
      <c r="S85" s="7" t="n"/>
      <c r="T85" s="7" t="n"/>
      <c r="U85" s="7" t="n"/>
      <c r="V85" s="129" t="n"/>
      <c r="W85" s="129" t="n"/>
      <c r="X85" s="129" t="n"/>
      <c r="Y85" s="7" t="n"/>
      <c r="Z85" s="129" t="n"/>
      <c r="AA85" s="129" t="n"/>
      <c r="AB85" s="129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</row>
    <row r="86" hidden="1" ht="70.55" customHeight="1" s="276">
      <c r="A86" s="3" t="n"/>
      <c r="B86" s="3" t="n"/>
      <c r="C86" s="3" t="n"/>
      <c r="D86" s="3">
        <f>IF(D47="well",1,"")</f>
        <v/>
      </c>
      <c r="E86" s="3">
        <f>IF(E75="no, no",1,"")</f>
        <v/>
      </c>
      <c r="F86" s="3">
        <f>IF(OR(F75="High",F75="medium"),1,"")</f>
        <v/>
      </c>
      <c r="G86" s="3">
        <f>IF(OR(I75="high",I75="medium"),1,"")</f>
        <v/>
      </c>
      <c r="H86" s="3">
        <f>IF(L75="",1,-1)</f>
        <v/>
      </c>
      <c r="I86" s="3">
        <f>COUNT(D86:G86)+H86</f>
        <v/>
      </c>
      <c r="J86" s="3">
        <f>COUNTA(D86:H86)</f>
        <v/>
      </c>
      <c r="K86" s="3">
        <f>IF(T99="",1,0)</f>
        <v/>
      </c>
      <c r="L86" s="3">
        <f>IF(V95="under1",2,0)</f>
        <v/>
      </c>
      <c r="M86" s="3">
        <f>IF(N84="under1",1,0)</f>
        <v/>
      </c>
      <c r="N86" s="3">
        <f>IF(O84="Go1",1,0)</f>
        <v/>
      </c>
      <c r="O86" s="3">
        <f>IF(O89="move1",1,0)</f>
        <v/>
      </c>
      <c r="P86" s="131">
        <f>SUM(K86:O86)/(COUNT(K86:O86)+1)*100</f>
        <v/>
      </c>
      <c r="Q86" s="3">
        <f>IF(P86&lt;60,"check",IF(AND(P86&lt;67,P86&gt;50,V95="under1"),"Add",E48))</f>
        <v/>
      </c>
      <c r="R86" s="3">
        <f>IF(Sheet2!Y25="D'over","check",IF(Sheet2!Y25="Add",L96+1,IF(AND(Q86="Add",W94="ok"),$L$96+1,IF(AND(Q86&lt;&gt;"Add",W94="ok"),$L$96,"check"))))</f>
        <v/>
      </c>
      <c r="S86" s="132">
        <f>IF(AND(R86&gt;1,W94="ok",AA92&gt;74),R86,IF(AND(R86&gt;1,W94="ok",AA92&lt;74),R86+1,"check"))</f>
        <v/>
      </c>
      <c r="T86" s="60" t="n"/>
      <c r="U86" s="3" t="n"/>
      <c r="V86" s="60" t="n"/>
      <c r="W86" s="3" t="n"/>
      <c r="X86" s="3" t="n"/>
      <c r="Y86" s="3" t="n"/>
      <c r="Z86" s="3" t="n"/>
      <c r="AA86" s="3" t="n"/>
      <c r="AB86" s="60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</row>
    <row r="87" hidden="1" ht="57.2" customHeight="1" s="276">
      <c r="A87" s="7" t="n"/>
      <c r="B87" s="7" t="n"/>
      <c r="C87" s="7" t="n"/>
      <c r="D87" s="7">
        <f>IF(D48="well",1,"")</f>
        <v/>
      </c>
      <c r="E87" s="7">
        <f>IF(E76="no, no",1,"")</f>
        <v/>
      </c>
      <c r="F87" s="7">
        <f>IF(OR(F76="High",F76="medium"),1,"")</f>
        <v/>
      </c>
      <c r="G87" s="7">
        <f>IF(OR(I76="high",I76="medium"),1,"")</f>
        <v/>
      </c>
      <c r="H87" s="7">
        <f>IF(L76="",1,-1)</f>
        <v/>
      </c>
      <c r="I87" s="7">
        <f>COUNT(D87:G87)+H87</f>
        <v/>
      </c>
      <c r="J87" s="7">
        <f>COUNTA(D87:H87)</f>
        <v/>
      </c>
      <c r="K87" s="7">
        <f>IF(T100="",1,0)</f>
        <v/>
      </c>
      <c r="L87" s="7">
        <f>IF(V96="under2",2,0)</f>
        <v/>
      </c>
      <c r="M87" s="7">
        <f>IF(N85="under2",1,0)</f>
        <v/>
      </c>
      <c r="N87" s="7">
        <f>IF(O85="Go2",1,0)</f>
        <v/>
      </c>
      <c r="O87" s="7">
        <f>IF(O90="move2",1,0)</f>
        <v/>
      </c>
      <c r="P87" s="133">
        <f>SUM(K87:O87)/(COUNT(K87:O87)+1)*100</f>
        <v/>
      </c>
      <c r="Q87" s="7">
        <f>IF(P87&lt;60,"check",IF(AND(P87&lt;67,P87&gt;50,V96="under2"),"Add",I48))</f>
        <v/>
      </c>
      <c r="R87" s="7">
        <f>IF(Sheet2!BW25="D'over","check",IF(Sheet2!BW25="Add",L96+1,IF(AND(Q87="Add",W95="ok"),$L$96+1,IF(AND(Q87&lt;&gt;"Add",W95="ok"),$L$96,"check"))))</f>
        <v/>
      </c>
      <c r="S87" s="175">
        <f>IF(AND(R87&gt;1,W95="ok",AA93&gt;74),R87,IF(AND(R87&gt;1,W95="ok",AA93&lt;74),R87+1,"check"))</f>
        <v/>
      </c>
      <c r="T87" s="7" t="n"/>
      <c r="U87" s="7" t="n"/>
      <c r="V87" s="7" t="n"/>
      <c r="W87" s="7" t="n"/>
      <c r="X87" s="129" t="n"/>
      <c r="Y87" s="7" t="n"/>
      <c r="Z87" s="129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</row>
    <row r="88" hidden="1" ht="79.84999999999999" customHeight="1" s="276">
      <c r="A88" s="3" t="n"/>
      <c r="B88" s="3" t="n"/>
      <c r="C88" s="3" t="n"/>
      <c r="D88" s="3">
        <f>IF(D60="well",1,"")</f>
        <v/>
      </c>
      <c r="E88" s="3">
        <f>IF(E77="no, no",1,"")</f>
        <v/>
      </c>
      <c r="F88" s="3">
        <f>IF(OR(F77="High",F77="medium"),1,"")</f>
        <v/>
      </c>
      <c r="G88" s="3">
        <f>IF(OR(I77="high",I77="medium"),1,"")</f>
        <v/>
      </c>
      <c r="H88" s="3">
        <f>IF(L77="",1,-1)</f>
        <v/>
      </c>
      <c r="I88" s="3">
        <f>COUNT(D88:G88)+H88</f>
        <v/>
      </c>
      <c r="J88" s="3">
        <f>COUNTA(D88:H88)</f>
        <v/>
      </c>
      <c r="K88" s="135">
        <f>ABS(G91-G92)</f>
        <v/>
      </c>
      <c r="L88" s="3">
        <f>IF(AND(N75&gt;M75,Q75&gt;55%),"winover")</f>
        <v/>
      </c>
      <c r="M88" s="3">
        <f>IF(AND(L88="winover",L89="winover"),2,IF(OR(L88="winover",L89="winover"),1,0))</f>
        <v/>
      </c>
      <c r="N88" s="3" t="n"/>
      <c r="O88" s="3" t="n"/>
      <c r="P88" s="3">
        <f>IF(AND(L88="winover",L89="winover"),"both",IF(OR(L88="winover",L89="winover"),"one",""))</f>
        <v/>
      </c>
      <c r="Q88" s="136">
        <f>IF(AND(K75="under G+1",K76="under G+1"),"both",IF(OR(K75="under G+1",K76="under G+1"),"oneu",""))</f>
        <v/>
      </c>
      <c r="R88" s="3">
        <f>IF(AND(S88="win",S89="win"),"ToT",IF(OR(S88="win",S89="win"),"ToT1",""))</f>
        <v/>
      </c>
      <c r="S88" s="3">
        <f>Sheet2!N16</f>
        <v/>
      </c>
      <c r="T88" s="132">
        <f>IF(AND(E47="align",I47="align"),"","not")</f>
        <v/>
      </c>
      <c r="U88" s="132">
        <f>IF(AND(M47="align",Q47="align"),"","not")</f>
        <v/>
      </c>
      <c r="V88" s="60" t="n"/>
      <c r="W88" s="3" t="n"/>
      <c r="X88" s="3" t="n"/>
      <c r="Y88" s="3" t="n"/>
      <c r="Z88" s="60" t="n"/>
      <c r="AA88" s="60" t="n"/>
      <c r="AB88" s="60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</row>
    <row r="89" hidden="1" ht="60.55" customHeight="1" s="276">
      <c r="A89" s="7" t="n"/>
      <c r="B89" s="7" t="n"/>
      <c r="C89" s="7" t="n"/>
      <c r="D89" s="7">
        <f>IF(D61="well",1,"")</f>
        <v/>
      </c>
      <c r="E89" s="7">
        <f>IF(E78="no, no",1,"")</f>
        <v/>
      </c>
      <c r="F89" s="7">
        <f>IF(OR(F78="High",F78="medium"),1,"")</f>
        <v/>
      </c>
      <c r="G89" s="7">
        <f>IF(OR(I78="high",I78="medium"),1,"")</f>
        <v/>
      </c>
      <c r="H89" s="7">
        <f>IF(L78="",1,-1)</f>
        <v/>
      </c>
      <c r="I89" s="7">
        <f>COUNT(D89:G89)+H89</f>
        <v/>
      </c>
      <c r="J89" s="7">
        <f>COUNTA(D89:H89)</f>
        <v/>
      </c>
      <c r="K89" s="89">
        <f>ABS(G93-G94)</f>
        <v/>
      </c>
      <c r="L89" s="7">
        <f>IF(AND(N76&gt;M76,Q76&gt;55%),"winover")</f>
        <v/>
      </c>
      <c r="M89" s="7">
        <f>IF(AND(M88=2,K88&lt;1),"ok",IF(AND(M88=2,K88&gt;1),"not ok",IF(AND(M88=1,K88&lt;1),"ok",IF(AND(M88=1,K88&gt;1),"not ok","ok1"))))</f>
        <v/>
      </c>
      <c r="N89" s="127">
        <f>IF(M89="not ok",0,1)</f>
        <v/>
      </c>
      <c r="O89" s="7">
        <f>IF(OR(K90=0,K90=50,K90=25,K90=100),"hold1","move1")</f>
        <v/>
      </c>
      <c r="P89" s="7" t="n"/>
      <c r="Q89" s="133" t="n"/>
      <c r="R89" s="7" t="n"/>
      <c r="S89" s="7">
        <f>Sheet2!AM16</f>
        <v/>
      </c>
      <c r="T89" s="7">
        <f>IF(AND(OR(O89="hold1",O90="hold2"),OR(T99="over1",T100="over2")),"yes","no")</f>
        <v/>
      </c>
      <c r="U89" s="7">
        <f>Sheet2!Z27</f>
        <v/>
      </c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</row>
    <row r="90" hidden="1" ht="55.9" customHeight="1" s="276">
      <c r="A90" s="3" t="n"/>
      <c r="B90" s="3" t="n"/>
      <c r="C90" s="3" t="n"/>
      <c r="D90" s="3">
        <f>IF(D62="well",1,"")</f>
        <v/>
      </c>
      <c r="E90" s="3">
        <f>IF(E79="no, no",1,"")</f>
        <v/>
      </c>
      <c r="F90" s="3">
        <f>IF(OR(F79="High",F79="medium"),1,"")</f>
        <v/>
      </c>
      <c r="G90" s="3">
        <f>IF(OR(I79="high",I79="medium"),1,"")</f>
        <v/>
      </c>
      <c r="H90" s="3">
        <f>IF(L79="",1,-1)</f>
        <v/>
      </c>
      <c r="I90" s="3">
        <f>COUNT(D90:G90)+H90</f>
        <v/>
      </c>
      <c r="J90" s="3">
        <f>COUNTA(D90:H90)</f>
        <v/>
      </c>
      <c r="K90" s="137">
        <f>SUM(G91,G92)</f>
        <v/>
      </c>
      <c r="L90" s="3">
        <f>IF(AND(N77&gt;M77,Q77&gt;55%),"winover")</f>
        <v/>
      </c>
      <c r="M90" s="3">
        <f>IF(AND(L90="winover",L91="winover"),2,IF(OR(L90="winover",L91="winover"),1,0))</f>
        <v/>
      </c>
      <c r="N90" s="123" t="n"/>
      <c r="O90" s="3">
        <f>IF(OR(K91=0,K91=50,K91=25,K91=100),"hold2","move2")</f>
        <v/>
      </c>
      <c r="P90" s="3">
        <f>IF(AND(L90="winover",L91="winover"),"both",IF(OR(L90="winover",L91="winover"),"one",""))</f>
        <v/>
      </c>
      <c r="Q90" s="131">
        <f>IF(AND(K77="under G+1",K78="under G+1"),"both",IF(OR(K77="under G+1",K78="under G+1"),"oneu",""))</f>
        <v/>
      </c>
      <c r="R90" s="3">
        <f>IF(AND(S90="win",S91="win"),"ToT",IF(OR(S90="win",S91="win"),"ToT1",""))</f>
        <v/>
      </c>
      <c r="S90" s="3">
        <f>Sheet2!BL16</f>
        <v/>
      </c>
      <c r="T90" s="3">
        <f>IF(AND(T88="not",R93="full"),"never",IF(OR(R93="full",T88="not"),"careful",""))</f>
        <v/>
      </c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</row>
    <row r="91" hidden="1" ht="72.55" customHeight="1" s="276">
      <c r="A91" s="7" t="n"/>
      <c r="B91" s="7" t="n"/>
      <c r="C91" s="7">
        <f>IF(AND(G75="over",H75="over"),"",1)</f>
        <v/>
      </c>
      <c r="D91" s="7">
        <f>IF(OR(E47="align",E47="full",E47="partially"),1,"")</f>
        <v/>
      </c>
      <c r="E91" s="7">
        <f>IF(L75="swiped",-2,1)</f>
        <v/>
      </c>
      <c r="F91" s="7">
        <f>IF(AND(V75&gt;0%,OR(U75="yes",U75="yes1")),1,"")</f>
        <v/>
      </c>
      <c r="G91" s="138">
        <f>(SUM(D91,E91,F91,C91)/4)*100</f>
        <v/>
      </c>
      <c r="H91" s="7">
        <f>IF(AND(U75="no",OR(D47="not",E62="not")),"not set",IF(OR(E75="yes, yes",E75="yes, no"),"not set",IF(AND(U75="No",OR(G75="over",H75="over")),"not set",IF(AND(D47="not",E62="not",OR(G75="over",H75="over")),"not set","set"))))</f>
        <v/>
      </c>
      <c r="I91" s="7">
        <f>IF(G46="check",0,IF(G46="u3.5",1,IF(G46="u2.5+",2,3)))</f>
        <v/>
      </c>
      <c r="J91" s="89">
        <f>IF(AND(I91&gt;0,P97&gt;50,I92&gt;0),E48,"over")</f>
        <v/>
      </c>
      <c r="K91" s="139">
        <f>SUM(G93,G94)</f>
        <v/>
      </c>
      <c r="L91" s="7">
        <f>IF(AND(N78&gt;M78,Q78&gt;55%),"winover")</f>
        <v/>
      </c>
      <c r="M91" s="7">
        <f>IF(AND(M90=2,K89&lt;1),"ok",IF(AND(M90=2,K89&gt;1),"not ok",IF(AND(M90=1,K89&lt;1),"ok",IF(AND(M90=1,K89&gt;1),"not ok","ok1"))))</f>
        <v/>
      </c>
      <c r="N91" s="127">
        <f>IF(M91="not ok",0,1)</f>
        <v/>
      </c>
      <c r="O91" s="7" t="n"/>
      <c r="P91" s="140">
        <f>SUM(G91:G92)</f>
        <v/>
      </c>
      <c r="Q91" s="7">
        <f>IF(OR(P91=125,OR(Sheet2!X24="o2.5",Sheet2!X24="don't choose",Sheet2!AW24="o2.5",Sheet2!AW24="don't choose")),"No","yes")</f>
        <v/>
      </c>
      <c r="R91" s="7" t="n"/>
      <c r="S91" s="7">
        <f>Sheet2!CK16</f>
        <v/>
      </c>
      <c r="T91" s="7">
        <f>IF(AND(U88="not",R94="full"),"never",IF(OR(R94="full",U88="not"),"careful",""))</f>
        <v/>
      </c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</row>
    <row r="92" hidden="1" ht="62.55" customHeight="1" s="276">
      <c r="A92" s="3" t="n"/>
      <c r="B92" s="3" t="n"/>
      <c r="C92" s="3">
        <f>IF(AND(G76="over",H76="over"),"",1)</f>
        <v/>
      </c>
      <c r="D92" s="3">
        <f>IF(OR(I47="align",I47="full",I47="partially"),1,"")</f>
        <v/>
      </c>
      <c r="E92" s="3">
        <f>IF(L76="swiped",-2,1)</f>
        <v/>
      </c>
      <c r="F92" s="3">
        <f>IF(AND(V76&gt;0%,OR(U76="yes",U76="yes1")),1,"")</f>
        <v/>
      </c>
      <c r="G92" s="141">
        <f>(SUM(D92,E92,F92,C92)/4)*100</f>
        <v/>
      </c>
      <c r="H92" s="3">
        <f>IF(AND(U76="no",OR(D48="not",I62="not")),"not set",IF(OR(E76="yes, yes",E76="yes, no"),"not set",IF(AND(U76="No",OR(G76="over",H76="over")),"not set",IF(AND(D48="not",I62="not",OR(G76="over",H76="over")),"not set","set"))))</f>
        <v/>
      </c>
      <c r="I92" s="3">
        <f>IF(K46="check",0,IF(K46="u3.5",1,IF(K46="u2.5+",2,3)))</f>
        <v/>
      </c>
      <c r="J92" s="135" t="n"/>
      <c r="K92" s="142">
        <f>IF(OR(B102=E48,P99=E48),1,0)</f>
        <v/>
      </c>
      <c r="L92" s="142">
        <f>IF(N97&lt;&gt;"over",1,-1)</f>
        <v/>
      </c>
      <c r="M92" s="142">
        <f>IF(M89&lt;&gt;"not ok",1,0)</f>
        <v/>
      </c>
      <c r="N92" s="142">
        <f>IF(H48="good",1,0)</f>
        <v/>
      </c>
      <c r="O92" s="142">
        <f>SUM(K92:N92)/COUNT(K92:N92)*100</f>
        <v/>
      </c>
      <c r="P92" s="3" t="n"/>
      <c r="Q92" s="3" t="n"/>
      <c r="R92" s="3" t="n"/>
      <c r="S92" s="3">
        <f>IF(R88="TOT1",1,IF(R88="TOT",2,""))</f>
        <v/>
      </c>
      <c r="T92" s="3">
        <f>IF(Q88="both",2,IF(Q88="oneu",1,""))</f>
        <v/>
      </c>
      <c r="U92" s="3">
        <f>IF(Q86="add",1,"")</f>
        <v/>
      </c>
      <c r="V92" s="3">
        <f>IF(P88="one",1,IF(P88="both",2,""))</f>
        <v/>
      </c>
      <c r="W92" s="3">
        <f>IF(R93="full",1,"")</f>
        <v/>
      </c>
      <c r="X92" s="3">
        <f>IF(T88="not",1,"")</f>
        <v/>
      </c>
      <c r="Y92" s="3">
        <f>IF(Sheet2!F40="coup",1,"")</f>
        <v/>
      </c>
      <c r="Z92" s="3">
        <f>SUM(S92:Y92,AB92,U97)/16*100</f>
        <v/>
      </c>
      <c r="AA92" s="3">
        <f>100-Z92</f>
        <v/>
      </c>
      <c r="AB92" s="3">
        <f>IF(AND(H54=H62,H54="under+1",H62="under+1"),3,"")</f>
        <v/>
      </c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</row>
    <row r="93" hidden="1" ht="43.25" customHeight="1" s="276">
      <c r="A93" s="7" t="n"/>
      <c r="B93" s="7" t="n"/>
      <c r="C93" s="7">
        <f>IF(AND(G77="over",H77="over"),"",1)</f>
        <v/>
      </c>
      <c r="D93" s="7">
        <f>IF(OR(M47="align",M47="full",M47="partially"),1,"")</f>
        <v/>
      </c>
      <c r="E93" s="7">
        <f>IF(L77="swiped",-2,1)</f>
        <v/>
      </c>
      <c r="F93" s="7">
        <f>IF(AND(V77&gt;0%,OR(U77="yes",U77="yes1")),1,"")</f>
        <v/>
      </c>
      <c r="G93" s="138">
        <f>(SUM(D93,E93,F93,C93)/4)*100</f>
        <v/>
      </c>
      <c r="H93" s="7">
        <f>IF(AND(U77="no",OR(D54="not",M62="not")),"not set",IF(OR(E77="yes, yes",E77="yes, no"),"not set",IF(AND(U77="No",OR(G77="over",H77="over")),"not set",IF(AND(D54="not",M62="not",OR(G77="over",H77="over")),"not set","set"))))</f>
        <v/>
      </c>
      <c r="I93" s="7">
        <f>IF(O46="check",0,IF(O46="u3.5",1,IF(O46="u2.5+",2,3)))</f>
        <v/>
      </c>
      <c r="J93" s="89">
        <f>IF(AND(I93&gt;0,P98&gt;50,I94&gt;0),E48,"over")</f>
        <v/>
      </c>
      <c r="K93" s="143">
        <f>IF(OR(B103=E48,P100=E48),1,0)</f>
        <v/>
      </c>
      <c r="L93" s="143">
        <f>IF(N98&lt;&gt;"over",1,-1)</f>
        <v/>
      </c>
      <c r="M93" s="143">
        <f>IF(M91&lt;&gt;"not ok",1,0)</f>
        <v/>
      </c>
      <c r="N93" s="143">
        <f>IF(P48="good",1,0)</f>
        <v/>
      </c>
      <c r="O93" s="143">
        <f>SUM(K93:N93)/COUNT(K93:N93)*100</f>
        <v/>
      </c>
      <c r="P93" s="140">
        <f>SUM(G93:G94)</f>
        <v/>
      </c>
      <c r="Q93" s="7">
        <f>IF(OR(P93=125,OR(Sheet2!BV24="o2.5",Sheet2!BV24="don't choose",Sheet2!CU24="o2.5",Sheet2!CU24="don't choose")),"No","yes")</f>
        <v/>
      </c>
      <c r="R93" s="144">
        <f>IF(S99&gt;75,"full","")</f>
        <v/>
      </c>
      <c r="S93" s="7">
        <f>IF(R90="TOT1",1,IF(R90="TOT",2,""))</f>
        <v/>
      </c>
      <c r="T93" s="7">
        <f>IF(Q90="both",2,IF(Q90="oneu",1,""))</f>
        <v/>
      </c>
      <c r="U93" s="7">
        <f>IF(Q87="add",1,"")</f>
        <v/>
      </c>
      <c r="V93" s="7">
        <f>IF(P90="one",1,IF(P90="both",2,""))</f>
        <v/>
      </c>
      <c r="W93" s="7">
        <f>IF(R94="full",1,"")</f>
        <v/>
      </c>
      <c r="X93" s="7">
        <f>IF(U88="not",1,"")</f>
        <v/>
      </c>
      <c r="Y93" s="7">
        <f>IF(Sheet2!BE39="coup",1,"")</f>
        <v/>
      </c>
      <c r="Z93" s="7">
        <f>SUM(S93:Y93,AB93,U98)/16*100</f>
        <v/>
      </c>
      <c r="AA93" s="7">
        <f>100-Z93</f>
        <v/>
      </c>
      <c r="AB93" s="7">
        <f>IF(AND(P54=P62,P54="under+1",P62="under+1"),3,"")</f>
        <v/>
      </c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</row>
    <row r="94" hidden="1" ht="47.9" customHeight="1" s="276">
      <c r="A94" s="3" t="n"/>
      <c r="B94" s="3" t="n"/>
      <c r="C94" s="3">
        <f>IF(AND(G78="over",H78="over"),"",1)</f>
        <v/>
      </c>
      <c r="D94" s="3">
        <f>IF(OR(Q47="align",Q47="full",Q47="partially"),1,"")</f>
        <v/>
      </c>
      <c r="E94" s="3">
        <f>IF(L78="swiped",-2,1)</f>
        <v/>
      </c>
      <c r="F94" s="3">
        <f>IF(AND(V78&gt;0%,OR(U78="yes",U78="yes1")),1,"")</f>
        <v/>
      </c>
      <c r="G94" s="141">
        <f>(SUM(D94,E94,F94,C94)/4)*100</f>
        <v/>
      </c>
      <c r="H94" s="3">
        <f>IF(AND(U78="no",OR(D61="not",Q62="not")),"not set",IF(OR(E78="yes, yes",E78="yes, no"),"not set",IF(AND(U78="No",OR(G78="over",H78="over")),"not set",IF(AND(D61="not",Q62="not",OR(G78="over",H78="over")),"not set","set"))))</f>
        <v/>
      </c>
      <c r="I94" s="3">
        <f>IF(S46="check",0,IF(S46="u3.5",1,IF(S46="u2.5+",2,3)))</f>
        <v/>
      </c>
      <c r="J94" s="3" t="n"/>
      <c r="K94" s="3" t="n"/>
      <c r="L94" s="3" t="n"/>
      <c r="M94" s="3" t="n"/>
      <c r="N94" s="3" t="n"/>
      <c r="O94" s="3" t="n"/>
      <c r="P94" s="3" t="n"/>
      <c r="Q94" s="3" t="n"/>
      <c r="R94" s="145">
        <f>IF(S100&gt;75,"full","")</f>
        <v/>
      </c>
      <c r="S94" s="3" t="n"/>
      <c r="T94" s="3" t="n"/>
      <c r="U94" s="3" t="n"/>
      <c r="V94" s="3" t="n"/>
      <c r="W94" s="3">
        <f>IF(P97&lt;40,"",IF(AND(P97&lt;60,AA92&gt;74),"Add",IF(AND(P97&gt;50,AA92&lt;74),"add2","ok")))</f>
        <v/>
      </c>
      <c r="X94" s="3" t="inlineStr">
        <is>
          <t>=</t>
        </is>
      </c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</row>
    <row r="95" hidden="1" ht="53.25" customHeight="1" s="276">
      <c r="A95" s="7" t="n"/>
      <c r="B95" s="7" t="n"/>
      <c r="C95" s="7">
        <f>IF(AND(G79="over",H79="over"),"",1)</f>
        <v/>
      </c>
      <c r="D95" s="7">
        <f>IF(OR(U47="align",U47="full",U47="partially"),1,"")</f>
        <v/>
      </c>
      <c r="E95" s="7">
        <f>IF(L79="swiped",-2,1)</f>
        <v/>
      </c>
      <c r="F95" s="7">
        <f>IF(AND(V79&gt;0%,OR(U79="yes",U79="yes1")),1,"")</f>
        <v/>
      </c>
      <c r="G95" s="138">
        <f>(SUM(D95,E95,F95,C95)/4)*100</f>
        <v/>
      </c>
      <c r="H95" s="7">
        <f>IF(AND(U79="no",OR(D62="not",U62="not")),"not set",IF(OR(E79="yes, yes",E79="yes, no"),"not set",IF(AND(D62="not",U62="not",OR(G79="over",H79="over")),"not set","set")))</f>
        <v/>
      </c>
      <c r="I95" s="7">
        <f>IF(W46="check",0,IF(W46="u3.5",1,IF(W46="u2.5+",2,3)))</f>
        <v/>
      </c>
      <c r="J95" s="7" t="n"/>
      <c r="K95" s="7" t="n"/>
      <c r="L95" s="7" t="n"/>
      <c r="M95" s="127">
        <f>IF(M96="under",2,0)</f>
        <v/>
      </c>
      <c r="N95" s="127">
        <f>IF(N96="under",2,0)</f>
        <v/>
      </c>
      <c r="O95" s="146">
        <f>IF(H48="good",2,0)</f>
        <v/>
      </c>
      <c r="P95" s="146">
        <f>IF(H54="under",3,IF(H54="run",2,IF(H54="under +1",1,0)))</f>
        <v/>
      </c>
      <c r="Q95" s="146">
        <f>IF(H61&lt;&gt;"+1",1,0)</f>
        <v/>
      </c>
      <c r="R95" s="147">
        <f>IF(H62=H54,1,0)</f>
        <v/>
      </c>
      <c r="S95" s="146">
        <f>IF(H63&lt;&gt;"No",1,0)</f>
        <v/>
      </c>
      <c r="T95" s="146">
        <f>SUM(O95:S95)/8*100</f>
        <v/>
      </c>
      <c r="U95" s="7">
        <f>IF(AND(T95&gt;49,P97&gt;60,H61&lt;&gt;N81,Q91="yes"),"valid","invalid")</f>
        <v/>
      </c>
      <c r="V95" s="7">
        <f>IF(AND(E47&lt;&gt;"the goal",I47&lt;&gt;"the goal",E47&lt;&gt;"partially",I47&lt;&gt;"partially",Sheet2!E40&lt;&gt;"yes1",Sheet2!E40&lt;&gt;"never"),"under1","check1")</f>
        <v/>
      </c>
      <c r="W95" s="7">
        <f>IF(P98&lt;40,"",IF(AND(P98&lt;60,AA93&gt;74),"Add",IF(AND(P98&gt;50,AA93&lt;74),"add2","ok")))</f>
        <v/>
      </c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</row>
    <row r="96" hidden="1" ht="45.9" customHeight="1" s="276">
      <c r="A96" s="3" t="n"/>
      <c r="B96" s="3">
        <f>IF(H91="set",1,"")</f>
        <v/>
      </c>
      <c r="C96" s="3" t="n"/>
      <c r="D96" s="3">
        <f>IF(OR(E47="align",E47="full"),1,"")</f>
        <v/>
      </c>
      <c r="E96" s="3">
        <f>IF(G91&gt;74,1,"")</f>
        <v/>
      </c>
      <c r="F96" s="3">
        <f>IF(E75="no, no",1,"")</f>
        <v/>
      </c>
      <c r="G96" s="141">
        <f>IF(OR(U75="yes1",U75="yes"),1,"")</f>
        <v/>
      </c>
      <c r="H96" s="3">
        <f>IF(OR(W75="1, edge",W75="2, edge",W75="x, edge"),1,"")</f>
        <v/>
      </c>
      <c r="I96" s="3">
        <f>COUNT(B96:H96)</f>
        <v/>
      </c>
      <c r="J96" s="3">
        <f>COUNTBLANK(B96:H96)-1</f>
        <v/>
      </c>
      <c r="K96" s="3">
        <f>I96/(I96+J96)*100</f>
        <v/>
      </c>
      <c r="L96" s="3">
        <f>IF(E48="3goals",2.5,IF(E48="4goals",3.5,IF(E48="5 goals",4.5,1.5)))</f>
        <v/>
      </c>
      <c r="M96" s="3">
        <f>IF(AND(OR(E47="align",E47="full"),E75="no, no",A101&gt;55),"under","check")</f>
        <v/>
      </c>
      <c r="N96" s="15">
        <f>IF(AND(OR(M47="align",M47="full"),E77="no, no",B101&gt;55),"under","check")</f>
        <v/>
      </c>
      <c r="O96" s="148">
        <f>IF(P48="good",2,0)</f>
        <v/>
      </c>
      <c r="P96" s="148">
        <f>IF(P54="under",3,IF(P54="run",2,IF(P54="under +1",1,0)))</f>
        <v/>
      </c>
      <c r="Q96" s="148">
        <f>IF(P61&lt;&gt;"+1",1,0)</f>
        <v/>
      </c>
      <c r="R96" s="148">
        <f>IF(P62=P54,1,0)</f>
        <v/>
      </c>
      <c r="S96" s="148">
        <f>IF(P63&lt;&gt;"No",1,0)</f>
        <v/>
      </c>
      <c r="T96" s="148">
        <f>SUM(O96:S96)/8*100</f>
        <v/>
      </c>
      <c r="U96" s="3">
        <f>IF(AND(T96&gt;49,P98&gt;60,P61&lt;&gt;N83,Q93="yes"),"valid","invalid")</f>
        <v/>
      </c>
      <c r="V96" s="3">
        <f>IF(AND(M47&lt;&gt;"the goal",Q47&lt;&gt;"the goal",M47&lt;&gt;"partially",Q47&lt;&gt;"partially",Sheet2!BD39&lt;&gt;"yes1",Sheet2!BD39&lt;&gt;"never"),"under2","check2")</f>
        <v/>
      </c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</row>
    <row r="97" hidden="1" ht="43.25" customHeight="1" s="276">
      <c r="A97" s="7" t="n"/>
      <c r="B97" s="7">
        <f>IF(H92="set",1,"")</f>
        <v/>
      </c>
      <c r="C97" s="7" t="n"/>
      <c r="D97" s="7">
        <f>IF(OR(I47="align",I47="full"),1,"")</f>
        <v/>
      </c>
      <c r="E97" s="7">
        <f>IF(G92&gt;74,1,"")</f>
        <v/>
      </c>
      <c r="F97" s="7">
        <f>IF(E76="no, no",1,"")</f>
        <v/>
      </c>
      <c r="G97" s="138">
        <f>IF(OR(U76="yes1",U76="yes"),1,"")</f>
        <v/>
      </c>
      <c r="H97" s="7">
        <f>IF(OR(W76="1, edge",W76="2, edge",W76="x, edge"),1,"")</f>
        <v/>
      </c>
      <c r="I97" s="7">
        <f>COUNT(B97:H97)</f>
        <v/>
      </c>
      <c r="J97" s="7">
        <f>COUNTBLANK(B97:H97)-1</f>
        <v/>
      </c>
      <c r="K97" s="7">
        <f>I97/(I97+J97)*100</f>
        <v/>
      </c>
      <c r="L97" s="7">
        <f>IF(AND(X75=1,X76=1),2,IF(OR(X75=1,X76=1),1))</f>
        <v/>
      </c>
      <c r="M97" s="7">
        <f>((L97+L99+M99)/5)*100</f>
        <v/>
      </c>
      <c r="N97" s="7">
        <f>IF(AND(M96="under",M97&gt;70),L96,IF(AND(M96="check",M97&gt;70),L96+1,"over"))</f>
        <v/>
      </c>
      <c r="O97" s="127">
        <f>IF(N97="over",0,1)</f>
        <v/>
      </c>
      <c r="P97" s="23">
        <f>(SUM(M95,O97,N89,M81)/8)*100</f>
        <v/>
      </c>
      <c r="Q97" s="23">
        <f>IF(B102="over",1,"")</f>
        <v/>
      </c>
      <c r="R97" s="23">
        <f>IF(AND(Q97="",H46=""),"pure","over")</f>
        <v/>
      </c>
      <c r="S97" s="23">
        <f>IF(H46=1,0,1)+IF(P97&gt;60,1,0)+IF(R97="over",0,1)</f>
        <v/>
      </c>
      <c r="T97" s="149">
        <f>(S97/3)*100</f>
        <v/>
      </c>
      <c r="U97" s="7">
        <f>IF(AND(E47&lt;&gt;"align",E47&lt;&gt;"full",I47&lt;&gt;"align",I47&lt;&gt;"full"),3,"")</f>
        <v/>
      </c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</row>
    <row r="98" hidden="1" ht="74.55" customHeight="1" s="276">
      <c r="A98" s="3" t="n"/>
      <c r="B98" s="3">
        <f>IF(H93="set",1,"")</f>
        <v/>
      </c>
      <c r="C98" s="3" t="n"/>
      <c r="D98" s="3">
        <f>IF(OR(M47="align",M47="full"),1,"")</f>
        <v/>
      </c>
      <c r="E98" s="3">
        <f>IF(G93&gt;74,1,"")</f>
        <v/>
      </c>
      <c r="F98" s="3">
        <f>IF(E77="no, no",1,"")</f>
        <v/>
      </c>
      <c r="G98" s="141">
        <f>IF(OR(U77="yes1",U77="yes"),1,"")</f>
        <v/>
      </c>
      <c r="H98" s="3">
        <f>IF(OR(W77="1, edge",W77="2, edge",W77="x, edge"),1,"")</f>
        <v/>
      </c>
      <c r="I98" s="3">
        <f>COUNT(B98:H98)</f>
        <v/>
      </c>
      <c r="J98" s="3">
        <f>COUNTBLANK(B98:H98)-1</f>
        <v/>
      </c>
      <c r="K98" s="3">
        <f>I98/(I98+J98)*100</f>
        <v/>
      </c>
      <c r="L98" s="3">
        <f>IF(AND(X78=1,X77=1),2,IF(OR(X78=1,X77=1),1))</f>
        <v/>
      </c>
      <c r="M98" s="3">
        <f>((L98+L100+M100)/5)*100</f>
        <v/>
      </c>
      <c r="N98" s="3">
        <f>IF(AND(N96="under",M98&gt;70),L96,IF(AND(N96="check",M98&gt;70),L96+1,"over"))</f>
        <v/>
      </c>
      <c r="O98" s="123">
        <f>IF(N98="over",0,1)</f>
        <v/>
      </c>
      <c r="P98" s="3">
        <f>(SUM(N95,O98,N91,M83)/8)*100</f>
        <v/>
      </c>
      <c r="Q98" s="3">
        <f>IF(B103="over",1,"")</f>
        <v/>
      </c>
      <c r="R98" s="3">
        <f>IF(AND(Q98="",P46=""),"pure","over")</f>
        <v/>
      </c>
      <c r="S98" s="3">
        <f>IF(P46=1,0,1)+IF(P98&gt;60,1,0)+IF(R98="over",0,1)</f>
        <v/>
      </c>
      <c r="T98" s="150">
        <f>(S98/3)*100</f>
        <v/>
      </c>
      <c r="U98" s="3">
        <f>IF(AND(M47&lt;&gt;"align",M47&lt;&gt;"full",Q47&lt;&gt;"align",Q47&lt;&gt;"full"),3,"")</f>
        <v/>
      </c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</row>
    <row r="99" hidden="1" ht="69.2" customHeight="1" s="276">
      <c r="A99" s="7" t="n"/>
      <c r="B99" s="7">
        <f>IF(H94="set",1,"")</f>
        <v/>
      </c>
      <c r="C99" s="7" t="n"/>
      <c r="D99" s="7">
        <f>IF(OR(Q47="align",Q47="full"),1,"")</f>
        <v/>
      </c>
      <c r="E99" s="7">
        <f>IF(G94&gt;74,1,"")</f>
        <v/>
      </c>
      <c r="F99" s="7">
        <f>IF(E78="no, no",1,"")</f>
        <v/>
      </c>
      <c r="G99" s="138">
        <f>IF(OR(U78="yes1",U78="yes"),1,"")</f>
        <v/>
      </c>
      <c r="H99" s="7">
        <f>IF(OR(W78="1, edge",W78="2, edge",W78="x, edge"),1,"")</f>
        <v/>
      </c>
      <c r="I99" s="7">
        <f>COUNT(B99:H99)</f>
        <v/>
      </c>
      <c r="J99" s="7">
        <f>COUNTBLANK(B99:H99)-1</f>
        <v/>
      </c>
      <c r="K99" s="7">
        <f>I99/(I99+J99)*100</f>
        <v/>
      </c>
      <c r="L99" s="7">
        <f>IF(AND(Y75="yes",Y76="yes"),2,IF(OR(Y75="yes",Y76="yes"),1))</f>
        <v/>
      </c>
      <c r="M99" s="7">
        <f>IF(M96="under",1,0)</f>
        <v/>
      </c>
      <c r="N99" s="7">
        <f>IF(AND(P97&gt;60,T97&gt;60,F62="under"),E48,IF(AND(R97="pure",N97&gt;1),E48,IF(AND(P97&gt;60,T97&gt;60),"+1","over")))</f>
        <v/>
      </c>
      <c r="O99" s="7">
        <f>IF(G91+G92&gt;75,"yes","no")</f>
        <v/>
      </c>
      <c r="P99" s="7">
        <f>IF(AND(N99="over",B102="over"),"run",IF(AND(B102="over",N99="+1"),"+2",IF(AND(N99="over",B102&lt;&gt;"over"),1,E48)))</f>
        <v/>
      </c>
      <c r="Q99" s="7">
        <f>IF(N97&lt;&gt;"over","yes","no")</f>
        <v/>
      </c>
      <c r="R99" s="128">
        <f>IF(AND(T95&gt;50,Q99="yes",P97&gt;50),"GO","out")</f>
        <v/>
      </c>
      <c r="S99" s="151">
        <f>(IF(R99="GO",1)+IF(T95&gt;50,1)+IF(U95="valid",1)+IF(M84="yes",1))/4*100</f>
        <v/>
      </c>
      <c r="T99" s="7">
        <f>IF(P99="+2","over1","")</f>
        <v/>
      </c>
      <c r="U99" s="7">
        <f>IF(AND(S99&lt;&gt;50,S99&lt;&gt;0),"under1","check1")</f>
        <v/>
      </c>
      <c r="V99" s="7">
        <f>IF(AND($C$46="settled",$C$47="high"),"D+", )</f>
        <v/>
      </c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</row>
    <row r="100" hidden="1" ht="53.9" customHeight="1" s="276">
      <c r="A100" s="3">
        <f>_xlfn.TEXTJOIN(" and ", ,P97,_xlfn.IFERROR(P98,""))</f>
        <v/>
      </c>
      <c r="B100" s="3">
        <f>IF(H95="set",1,"")</f>
        <v/>
      </c>
      <c r="C100" s="3" t="n"/>
      <c r="D100" s="3">
        <f>IF(OR(U47="align",U47="full"),1,"")</f>
        <v/>
      </c>
      <c r="E100" s="3">
        <f>IF(G95&gt;74,1,"")</f>
        <v/>
      </c>
      <c r="F100" s="3">
        <f>IF(E79="no, no",1,"")</f>
        <v/>
      </c>
      <c r="G100" s="141">
        <f>IF(OR(U79="yes1",U79="yes"),1,"")</f>
        <v/>
      </c>
      <c r="H100" s="3">
        <f>IF(OR(W79="1, edge",W79="2, edge",W79="x, edge"),1,"")</f>
        <v/>
      </c>
      <c r="I100" s="3">
        <f>COUNT(B100:H100)</f>
        <v/>
      </c>
      <c r="J100" s="3">
        <f>COUNTBLANK(B100:H100)-1</f>
        <v/>
      </c>
      <c r="K100" s="3">
        <f>I100/(I100+J100)*100</f>
        <v/>
      </c>
      <c r="L100" s="3">
        <f>IF(AND(Y78="yes",Y77="yes"),2,IF(OR(Y78="yes",Y77="yes"),1))</f>
        <v/>
      </c>
      <c r="M100" s="3">
        <f>IF(N96="under",1,0)</f>
        <v/>
      </c>
      <c r="N100" s="3">
        <f>IF(AND(P98&gt;60,T98&gt;60,N62="under"),E48,IF(AND(R98="pure",N98&gt;1),E48,IF(AND(P98&gt;60,T98&gt;60),"+1","over")))</f>
        <v/>
      </c>
      <c r="O100" s="3">
        <f>IF(G94+G93&gt;75,"yes","no")</f>
        <v/>
      </c>
      <c r="P100" s="3">
        <f>IF(AND(N100="over",B103="over"),"run",IF(AND(B103="over",N100="+1"),"+2",IF(AND(N100="over",B103&lt;&gt;"over"),1,E48)))</f>
        <v/>
      </c>
      <c r="Q100" s="3">
        <f>IF(N98&lt;&gt;"over","yes","no")</f>
        <v/>
      </c>
      <c r="R100" s="124">
        <f>IF(AND(T96&gt;50,Q100="yes",P98&gt;50),"GO","out")</f>
        <v/>
      </c>
      <c r="S100" s="152">
        <f>(IF(R100="GO",1)+IF(T96&gt;50,1)+IF(U96="valid",1)+IF(M85="yes",1))/4*100</f>
        <v/>
      </c>
      <c r="T100" s="3">
        <f>IF(P100="+2","over2","")</f>
        <v/>
      </c>
      <c r="U100" s="3">
        <f>IF(AND(S100&lt;&gt;50,S100&lt;&gt;0),"under2","check2")</f>
        <v/>
      </c>
      <c r="V100" s="3">
        <f>IF(AND($C$46="settled",$C$47="high"),"D+")</f>
        <v/>
      </c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</row>
    <row r="101" hidden="1" ht="85.2" customHeight="1" s="276">
      <c r="A101" s="7">
        <f>AVERAGE(K96,K97,G91,G92)</f>
        <v/>
      </c>
      <c r="B101" s="7">
        <f>AVERAGE(K98,K99,G93,G94)</f>
        <v/>
      </c>
      <c r="C101" s="7" t="n"/>
      <c r="D101" s="7" t="n"/>
      <c r="E101" s="7" t="n"/>
      <c r="F101" s="7" t="n"/>
      <c r="G101" s="7" t="n"/>
      <c r="H101" s="7" t="n"/>
      <c r="I101" s="38">
        <f>AVERAGE(I6:I42)</f>
        <v/>
      </c>
      <c r="J101" s="38">
        <f>AVERAGE(J6:J42)</f>
        <v/>
      </c>
      <c r="K101" s="7" t="n"/>
      <c r="L101" s="7" t="n"/>
      <c r="M101" s="38">
        <f>AVERAGE(M6:M42)</f>
        <v/>
      </c>
      <c r="N101" s="38">
        <f>AVERAGE(N6:N42)</f>
        <v/>
      </c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</row>
    <row r="102" hidden="1" ht="40.9" customHeight="1" s="276">
      <c r="A102" s="3">
        <f>_xlfn.TEXTJOIN(", ", ,IF(AND(OR(E47="align",E47="full"),E75="no, no",A101&gt;55),"under","check"),X75,X76,Y75,Y76,N97,M89)</f>
        <v/>
      </c>
      <c r="B102" s="15">
        <f>J91</f>
        <v/>
      </c>
      <c r="C102" s="15">
        <f>IF(AND(A64="success",A69="success",B54=""),"GOOD","CHECK")</f>
        <v/>
      </c>
      <c r="D102" s="15">
        <f>IF(D104&gt;E104,"Down","up")</f>
        <v/>
      </c>
      <c r="E102" s="3" t="n"/>
      <c r="F102" s="3" t="n"/>
      <c r="G102" s="3" t="n"/>
      <c r="H102" s="3">
        <f>H69+I102</f>
        <v/>
      </c>
      <c r="I102" s="3">
        <f>CORREL($J6:$J42,$N6:$N42)</f>
        <v/>
      </c>
      <c r="J102" s="3">
        <f>1/3*100</f>
        <v/>
      </c>
      <c r="K102" s="3">
        <f>J102-100</f>
        <v/>
      </c>
      <c r="L102" s="3">
        <f>SUM(L103,K103)</f>
        <v/>
      </c>
      <c r="M102" s="31">
        <f>VLOOKUP(G48,$C$6:$O$42,11)</f>
        <v/>
      </c>
      <c r="N102" s="31">
        <f>VLOOKUP(G48,$C$6:$O$42,12)</f>
        <v/>
      </c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</row>
    <row r="103" hidden="1" ht="56.4" customHeight="1" s="276">
      <c r="A103" s="7">
        <f>_xlfn.TEXTJOIN(", ", ,IF(AND(OR(M47="align",M47="full"),E77="no, no",B101&gt;55),"under","check"),X77,X78,Y77,Y78,N98,M91)</f>
        <v/>
      </c>
      <c r="B103" s="7">
        <f>J93</f>
        <v/>
      </c>
      <c r="C103" s="7">
        <f>AVERAGE(A101,O92,P97)</f>
        <v/>
      </c>
      <c r="D103" s="153">
        <f>IF(D104&gt;=70,"Excellent",IF(D104&gt;=60,"Good",IF(D104&gt;=50,"Fair",IF(D104&gt;=40,"Poor (Pass)","Fail"))))</f>
        <v/>
      </c>
      <c r="E103" s="7">
        <f>ABS(D104-E104)</f>
        <v/>
      </c>
      <c r="F103" s="7" t="n"/>
      <c r="G103" s="7" t="n"/>
      <c r="H103" s="7">
        <f>(H102*10)/((H102)*10+D46)</f>
        <v/>
      </c>
      <c r="I103" s="31">
        <f>VLOOKUP(F48,$C$6:$O$42,7)</f>
        <v/>
      </c>
      <c r="J103" s="31">
        <f>VLOOKUP(F48,$C$6:$O$42,8)</f>
        <v/>
      </c>
      <c r="K103" s="7">
        <f>H69/(H69+I102)</f>
        <v/>
      </c>
      <c r="L103" s="7">
        <f>I102/(I102+H69)</f>
        <v/>
      </c>
      <c r="M103" s="38">
        <f>AVERAGE(M101,M102)</f>
        <v/>
      </c>
      <c r="N103" s="38">
        <f>AVERAGE(N101,N102)</f>
        <v/>
      </c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</row>
    <row r="104" hidden="1" ht="68.40000000000001" customHeight="1" s="276">
      <c r="A104" s="3">
        <f>_xlfn.TEXTJOIN("and ", ,T97,_xlfn.IFERROR(T98,""))</f>
        <v/>
      </c>
      <c r="B104" s="3">
        <f>IF(D103="Excellent","A",IF(D103="Good","B",IF(D103="Fair","C",IF(D103="Poor (Pass)","P","F"))))</f>
        <v/>
      </c>
      <c r="C104" s="154" t="inlineStr">
        <is>
          <t>Sheet2!CU24</t>
        </is>
      </c>
      <c r="D104" s="3">
        <f>ROUND((IF(A74&gt;60,1,0)+IF(B54="",1,0)+IF(A69="success",1,0)+IF(A64="success",1,0)+IF(A5="go/ go",1,0)+IF(OR(H54="run",H54="under"),1,0)+IF(C102="GOOD",1,0)+IF(Sheet2!AA15&lt;&gt;"no",1,0)+IF(OR(N84="chek1",N85="check2"),0,1)+IF(OR(V95="check1",V96="check2"),0,1))/10,2)*100</f>
        <v/>
      </c>
      <c r="E104" s="3">
        <f>AVERAGE(D104,A74)</f>
        <v/>
      </c>
      <c r="F104" s="3" t="n"/>
      <c r="G104" s="3" t="n"/>
      <c r="H104" s="3">
        <f>IF(H103&lt;0.4,"low",IF(H103&lt;0.75,"medium","high"))</f>
        <v/>
      </c>
      <c r="I104" s="31">
        <f>AVERAGE(I101,I103)</f>
        <v/>
      </c>
      <c r="J104" s="31">
        <f>AVERAGE(J101,J103)</f>
        <v/>
      </c>
      <c r="K104" s="3" t="n"/>
      <c r="L104" s="3">
        <f>IF(I103=MAX(I103,M102),"H","A")</f>
        <v/>
      </c>
      <c r="M104" s="3">
        <f>AVERAGE(I102,H69)</f>
        <v/>
      </c>
      <c r="N104" s="38">
        <f>AVERAGE(M103,N103)</f>
        <v/>
      </c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</row>
    <row r="105" hidden="1" ht="41.4" customHeight="1" s="276">
      <c r="A105" s="144">
        <f>IF(OR(O89="hold1",O90="hold2",T99="over1",T100="over2",A74&lt;70),"",_xlfn.TEXTJOIN(" '", ,D103,D102))</f>
        <v/>
      </c>
      <c r="B105" s="7">
        <f>100-(ROUND((IF(OR(O89="hold1",O90="hold2"),2,0)+IF(OR(T99="over1",T100="over2"),1,0)+IF(A74&lt;70,1,0))/4,2)*100)</f>
        <v/>
      </c>
      <c r="C105" s="7">
        <f>IF(A74&gt;E104,"go","off")</f>
        <v/>
      </c>
      <c r="D105" s="7">
        <f>IF(AND(A106="Ex",D103&lt;&gt;"Fail",AND(B54,T99&lt;&gt;"over1",B54,T100&lt;&gt;"over2")),"perfect",IF(AND(A106="Ex",D103&lt;&gt;"Fail"),L96+1,"Don't choose"))</f>
        <v/>
      </c>
      <c r="E105" s="7" t="n"/>
      <c r="F105" s="7" t="n"/>
      <c r="G105" s="7" t="n"/>
      <c r="H105" s="7" t="n"/>
      <c r="I105" s="38">
        <f>I104*N103</f>
        <v/>
      </c>
      <c r="J105" s="38">
        <f>AVERAGE(I104,J104)</f>
        <v/>
      </c>
      <c r="K105" s="7" t="n"/>
      <c r="L105" s="7">
        <f>_xlfn.TEXTJOIN(". ", ,IF(I103=MAX(I103,M102),"H","A"),I106)</f>
        <v/>
      </c>
      <c r="M105" s="38">
        <f>J104*M103</f>
        <v/>
      </c>
      <c r="N105" s="7">
        <f>(J105-N104)*1000</f>
        <v/>
      </c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</row>
    <row r="106" hidden="1" ht="18.8" customHeight="1" s="276">
      <c r="A106" s="3">
        <f>IF(AND(B108&gt;59,OR(B108&gt;B107,B108=B107, ,B107&gt;80)),"Ex","check")</f>
        <v/>
      </c>
      <c r="B106" s="3">
        <f>_xlfn.TEXTJOIN("'", ,D103,D102,B112,B107)</f>
        <v/>
      </c>
      <c r="C106" s="145">
        <f>IF(AND(B105&gt;60,B70&lt;&gt;"",A74&gt;70),B106,"")</f>
        <v/>
      </c>
      <c r="D106" s="3" t="n"/>
      <c r="E106" s="3" t="n"/>
      <c r="F106" s="3" t="n"/>
      <c r="G106" s="3" t="n"/>
      <c r="H106" s="3" t="n"/>
      <c r="I106" s="31">
        <f>AVERAGE(I105,M105)</f>
        <v/>
      </c>
      <c r="J106" s="162">
        <f>ROUND(I105/(I105+M105)*100,2)</f>
        <v/>
      </c>
      <c r="K106" s="162">
        <f>100-J106</f>
        <v/>
      </c>
      <c r="L106" s="162">
        <f>MAX(K106,J106)</f>
        <v/>
      </c>
      <c r="M106" s="162">
        <f>IF(L106&gt;69,"F",IF(L106&gt;59,"D",IF(L106&gt;49,"C",IF(L106&gt;39,"B","A"))))</f>
        <v/>
      </c>
      <c r="N106" s="162">
        <f>IF(L106=J106,"H","Aw")</f>
        <v/>
      </c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</row>
    <row r="107" hidden="1" ht="45.2" customHeight="1" s="276">
      <c r="A107" s="7" t="n"/>
      <c r="B107" s="7">
        <f>(ROUND((IF(C105="go",1,0)+IF(OR(D103="fair",D103="good",D103="excellent"),1,0)+IF(D102="up",1,0)+IF(B112="save",1,0))/4,2)*100)</f>
        <v/>
      </c>
      <c r="C107" s="7" t="n"/>
      <c r="D107" s="7" t="n"/>
      <c r="E107" s="7" t="n"/>
      <c r="F107" s="7" t="n"/>
      <c r="G107" s="7" t="n"/>
      <c r="H107" s="7" t="n"/>
      <c r="I107" s="166">
        <f>(I106/(D46+I106))*100</f>
        <v/>
      </c>
      <c r="J107" s="157">
        <f>MAX(M105,I105)-MIN(I105,M105)</f>
        <v/>
      </c>
      <c r="K107" s="158">
        <f>SUM(I105,M105)</f>
        <v/>
      </c>
      <c r="L107" s="158">
        <f>IF(L104="A",1,0)+IF(N106="Aw",1,0)+IF(Sheet2!P72="A",1,0)</f>
        <v/>
      </c>
      <c r="M107" s="158">
        <f>IF(L104="H",1,0)+IF(N106="H",1,0)+IF(Sheet2!P72="H",1,0)</f>
        <v/>
      </c>
      <c r="N107" s="159" t="n"/>
      <c r="O107" s="166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</row>
    <row r="108" hidden="1" ht="50.05" customHeight="1" s="276">
      <c r="A108" s="3" t="n"/>
      <c r="B108" s="3">
        <f>100-(ROUND(((IF(D103="Fail",1,0)+IF(B110="Dan",1,0)+IF(D102="down",1,0)+IF(B107&lt;60,1,0)+IF(OR(N84="check1",N85="check2"),1,0)+IF(OR(V95="check1",V96="check2"),1,0))/5)*100,2))</f>
        <v/>
      </c>
      <c r="C108" s="160" t="n"/>
      <c r="D108" s="3" t="n"/>
      <c r="E108" s="3" t="n"/>
      <c r="F108" s="3" t="n"/>
      <c r="G108" s="3" t="n"/>
      <c r="H108" s="3" t="n"/>
      <c r="I108" s="162" t="n"/>
      <c r="J108" s="161">
        <f>J107/K107</f>
        <v/>
      </c>
      <c r="K108" s="162">
        <f>J108*100</f>
        <v/>
      </c>
      <c r="L108" s="162">
        <f>IF(N106="H",M107/(L107+M107)*100,L107/(L107+M107)*100)</f>
        <v/>
      </c>
      <c r="M108" s="162">
        <f>IF(AND(N84="check1",N84=V95,V96="check2",N85=V96),"not set","set")</f>
        <v/>
      </c>
      <c r="N108" s="163" t="n"/>
      <c r="O108" s="162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</row>
    <row r="109" hidden="1" ht="26.9" customHeight="1" s="276">
      <c r="A109" s="7">
        <f>ROW()</f>
        <v/>
      </c>
      <c r="B109" s="164">
        <f>IF(AND(OR(H75="over3",H75="u2.5",H75="over"),OR(H76="over3",H76="u2.5",H76="over")),"Dan","save")</f>
        <v/>
      </c>
      <c r="C109" s="0" t="n"/>
      <c r="D109" s="164" t="n"/>
      <c r="E109" s="7" t="n"/>
      <c r="F109" s="7" t="n"/>
      <c r="G109" s="7" t="n"/>
      <c r="H109" s="7" t="n"/>
      <c r="I109" s="166" t="n"/>
      <c r="J109" s="165">
        <f>AVERAGE(I102,J108)</f>
        <v/>
      </c>
      <c r="K109" s="166">
        <f>AVERAGE(J107,K107,J108,J109)</f>
        <v/>
      </c>
      <c r="L109" s="166">
        <f>IF(AND(J110&gt;0.6,L108&lt;40),"handicap",IF(AND(J110&gt;0.6,L108&gt;40),N106,"undefined"))</f>
        <v/>
      </c>
      <c r="M109" s="166">
        <f>IF(Sheet2!M74="low",_xlfn.TEXTJOIN(" / ", ,Sheet2!O73,Sheet2!M74),Sheet2!M74)</f>
        <v/>
      </c>
      <c r="N109" s="167">
        <f>IF(AND(Sheet2!M74="low",Sheet2!L77="handicap",Sheet2!N73="one"),"yes","no")</f>
        <v/>
      </c>
      <c r="O109" s="166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</row>
    <row r="110" hidden="1" ht="30.15" customHeight="1" s="276">
      <c r="A110" s="3" t="n"/>
      <c r="B110" s="3">
        <f>IF(AND(G75="over",G76="over"),"Dan","save")</f>
        <v/>
      </c>
      <c r="C110" s="160" t="n"/>
      <c r="D110" s="3" t="n"/>
      <c r="E110" s="3" t="n"/>
      <c r="F110" s="3" t="n"/>
      <c r="G110" s="3" t="n"/>
      <c r="H110" s="3" t="n"/>
      <c r="I110" s="162" t="n"/>
      <c r="J110" s="168">
        <f>AVERAGE(J109,K109)</f>
        <v/>
      </c>
      <c r="K110" s="169">
        <f>J109/SUM(J109,K109)*100</f>
        <v/>
      </c>
      <c r="L110" s="169">
        <f>IF(L109="Aw",Sheet2!M4,IF(L109="H",Sheet2!L5,IF(L109="handicap",_xlfn.TEXTJOIN(" /", ,L109,N106),M109)))</f>
        <v/>
      </c>
      <c r="M110" s="169">
        <f>IF(AND(M109=L110,OR(Sheet2!L5=M109,Sheet2!M4=M109)),"set",IF(OR(L110=Sheet2!L5,L110=Sheet2!M4),"set1","not"))</f>
        <v/>
      </c>
      <c r="N110" s="170">
        <f>Sheet2!O73</f>
        <v/>
      </c>
      <c r="O110" s="162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</row>
    <row r="111" hidden="1" ht="65.09999999999999" customHeight="1" s="276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166">
        <f>L110</f>
        <v/>
      </c>
      <c r="K111" s="166" t="n"/>
      <c r="L111" s="166">
        <f>IF(AND(J111=N110,D64&lt;&gt;"one",M110="set1",C74&lt;&gt;"no"),1,IF(AND(J111=N110,D64&lt;&gt;"one",M110="set1"),"Handicap",0))</f>
        <v/>
      </c>
      <c r="M111" s="166">
        <f>IF(AND(L111=1,B85="under"),"UNDER",L111)</f>
        <v/>
      </c>
      <c r="N111" s="171">
        <f>IF(M114=O114,N114,I114)</f>
        <v/>
      </c>
      <c r="O111" s="7">
        <f>IF(AND(M110&lt;&gt;"not",OR(N111="Home G",N111="Away G")),N111,"2handi")</f>
        <v/>
      </c>
      <c r="P111" s="7">
        <f>IF(OR(N111="Home C",N111="Home G"),"Home","Away")</f>
        <v/>
      </c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</row>
    <row r="112" hidden="1" ht="45.2" customHeight="1" s="276">
      <c r="A112" s="3" t="n"/>
      <c r="B112" s="3">
        <f>IF(AND(B109="save",B110="save"),"save","Dan")</f>
        <v/>
      </c>
      <c r="C112" s="3" t="n"/>
      <c r="D112" s="3" t="n"/>
      <c r="E112" s="3" t="n"/>
      <c r="F112" s="3" t="n"/>
      <c r="G112" s="3" t="n"/>
      <c r="H112" s="3" t="n"/>
      <c r="I112" s="3">
        <f>I103/M104</f>
        <v/>
      </c>
      <c r="J112" s="3">
        <f>J103/M104</f>
        <v/>
      </c>
      <c r="K112" s="3">
        <f>IF(I112&gt;J112,I112/J112,J112/I112)</f>
        <v/>
      </c>
      <c r="L112" s="172" t="n"/>
      <c r="M112" s="172">
        <f>M102/M104</f>
        <v/>
      </c>
      <c r="N112" s="3">
        <f>N102/M104</f>
        <v/>
      </c>
      <c r="O112" s="3">
        <f>IF(M112&gt;N112,M112/N112,N112/M112)</f>
        <v/>
      </c>
      <c r="P112" s="3">
        <f>IF(P111=Sheet2!P73,"match","not match")</f>
        <v/>
      </c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</row>
    <row r="113" hidden="1" ht="46.8" customHeight="1" s="276">
      <c r="A113" s="173">
        <f>IF(AND(A74&gt;50,A114&gt;75%,M106&lt;&gt;"F"),"yes","no")</f>
        <v/>
      </c>
      <c r="B113" s="174">
        <f>_xlfn.TEXTJOIN("/ ", ,D105,D64,Sheet2!M74)</f>
        <v/>
      </c>
      <c r="C113" s="7" t="n"/>
      <c r="D113" s="7" t="n"/>
      <c r="E113" s="7" t="n"/>
      <c r="F113" s="7" t="n"/>
      <c r="G113" s="7" t="n"/>
      <c r="H113" s="7" t="n"/>
      <c r="I113" s="175">
        <f>AVERAGE(I112,M112)</f>
        <v/>
      </c>
      <c r="J113" s="7">
        <f>AVERAGE(I112,J112)</f>
        <v/>
      </c>
      <c r="K113" s="176">
        <f>IF(L114&gt;K114,"sus","Nsus")</f>
        <v/>
      </c>
      <c r="L113" s="177">
        <f>J113/N113</f>
        <v/>
      </c>
      <c r="M113" s="178">
        <f>IF(O113&gt;I113,O113/I113,I113/O113)</f>
        <v/>
      </c>
      <c r="N113" s="176">
        <f>AVERAGE(M112,N112)</f>
        <v/>
      </c>
      <c r="O113" s="175">
        <f>AVERAGE(N112,J112)</f>
        <v/>
      </c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</row>
    <row r="114" hidden="1" ht="16.15" customHeight="1" s="276">
      <c r="A114" s="179">
        <f>S81</f>
        <v/>
      </c>
      <c r="B114" s="3">
        <f>RANDBETWEEN(1,25)-RANDBETWEEN(1,5)</f>
        <v/>
      </c>
      <c r="C114" s="3">
        <f>IF(C46="settled",D114,E48)</f>
        <v/>
      </c>
      <c r="D114" s="3">
        <f>IF($D46&gt;4.9,"6 goals",IF($D46&gt;4.45,"6 goals",IF($D46&gt;3.45,"5goals",IF($D46&gt;2.45,"4goals","3goals or less"))))</f>
        <v/>
      </c>
      <c r="E114" s="3">
        <f>IF(A43=A46,"yes","no")</f>
        <v/>
      </c>
      <c r="F114" s="3">
        <f>IF(AND(D105="don't choose",A113="yes",B74=""),"nope",IF(A113="no","nope","ok"))</f>
        <v/>
      </c>
      <c r="G114" s="3" t="n"/>
      <c r="H114" s="3" t="n"/>
      <c r="I114" s="180">
        <f>IF(I112&gt;J112,"Home G","Home C")</f>
        <v/>
      </c>
      <c r="J114" s="3">
        <f>IF(I114="Home G",I112,J112)</f>
        <v/>
      </c>
      <c r="K114" s="181">
        <f>IF(J114&gt;O114,J114/O114,O114/J114)</f>
        <v/>
      </c>
      <c r="L114" s="182">
        <f>AVERAGE(L113,M113)</f>
        <v/>
      </c>
      <c r="M114" s="183">
        <f>IF(AND(N114="Away G",I114="Home G"),MAX(J114,O114),IF(AND(N114="Away C",I114="Home C"),MIN(J114,O114),IF(AND(N114="Away G",I114="Home C"),O114,J114)))</f>
        <v/>
      </c>
      <c r="N114" s="3">
        <f>IF(M112&gt;N112,"Away G","Away C")</f>
        <v/>
      </c>
      <c r="O114" s="3">
        <f>IF(N114="Away G",M112,N112)</f>
        <v/>
      </c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</row>
    <row r="115" hidden="1" ht="27.95" customHeight="1" s="276">
      <c r="A115" s="7">
        <f>N106</f>
        <v/>
      </c>
      <c r="B115" s="38">
        <f>Sheet2!AA18+X83</f>
        <v/>
      </c>
      <c r="C115" s="7">
        <f>IF(C114="6 goals","u6.5",IF(C114="5goals","u5.5",IF(C114="4goals","u4.5",IF(C114="3goals","u3.5",IF(C114="3goals or less","u3.5",IF(C114="2goals or less","u2.5"))))))</f>
        <v/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176">
        <f>IF(AND(L10&lt;&gt;"D'over",Sheet2!O73=Sheet2!N72,Sheet2!AM72=Sheet2!N72,K113="sus"),B46,K113)</f>
        <v/>
      </c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</row>
    <row r="116" hidden="1" ht="21.5" customHeight="1" s="276">
      <c r="A116" s="63">
        <f>M106</f>
        <v/>
      </c>
      <c r="B116" s="63">
        <f>_xlfn.TEXTJOIN(" @", ,B84,C116,M111)</f>
        <v/>
      </c>
      <c r="C116" s="63">
        <f>IF(AND(Sheet2!S3&lt;&gt;"F",A116&lt;&gt;"F",B84="set1/ set",L110=Sheet2!O73,C74&lt;&gt;"no"),"YES","NO")</f>
        <v/>
      </c>
      <c r="D116" s="63">
        <f>IF(Sheet2!L77&lt;&gt;"handicap","no",Sheet2!L77)</f>
        <v/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</row>
    <row r="117" ht="30.65" customHeight="1" s="276">
      <c r="A117" s="7" t="n"/>
      <c r="B117" s="4">
        <f>IF(AND(M106&lt;&gt;"F",M108="set",A74&gt;49,Sheet2!S3&lt;&gt;"F"),"YES","No")</f>
        <v/>
      </c>
      <c r="C117" s="7">
        <f>IF(OR(M110="set1",M110="set"),Sheet2!Q74,"")</f>
        <v/>
      </c>
      <c r="D117" s="7">
        <f>_xlfn.TEXTJOIN("/ ", ,A10,B10)</f>
        <v/>
      </c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</row>
    <row r="118" ht="15.75" customHeight="1" s="276">
      <c r="A118" s="3" t="n"/>
      <c r="B118" s="180">
        <f>_xlfn.TEXTJOIN("/ ", ,L115,N111,O111)</f>
        <v/>
      </c>
      <c r="C118" s="184">
        <f>_xlfn.TEXTJOIN("/ ", ,Sheet2!R13,N109)</f>
        <v/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</row>
    <row r="119" ht="15.75" customHeight="1" s="276">
      <c r="A119" s="7" t="n"/>
      <c r="B119" s="185">
        <f>IF(AND(M110&lt;&gt;"not",L110=Sheet2!O73,D64="both"),"double","run")</f>
        <v/>
      </c>
      <c r="C119" s="7">
        <f>IF(AND(M110&lt;&gt;"not",L110&lt;&gt;Sheet2!O73,D64="one"),"under","run")</f>
        <v/>
      </c>
      <c r="D119" s="7">
        <f>IF(AND(M110&lt;&gt;"not",L115=B46,C117&lt;&gt;"",Sheet2!L77="handicap",Sheet2!M74="low"),"under","run")</f>
        <v/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</row>
    <row r="120" ht="15.75" customHeight="1" s="276">
      <c r="A120" s="186" t="n"/>
      <c r="B120" s="187">
        <f>_xlfn.TEXTJOIN(" /", ,IF(B119&lt;&gt;"run",B119,""),IF(C119&lt;&gt;"run",C119,""),IF(D119&lt;&gt;"run",D119,""))</f>
        <v/>
      </c>
      <c r="C120" s="186">
        <f>P112</f>
        <v/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</row>
    <row r="121" ht="15.75" customHeight="1" s="276">
      <c r="A121" s="7" t="n"/>
      <c r="B121" s="185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</row>
    <row r="122" ht="30.55" customHeight="1" s="276">
      <c r="A122" s="3" t="n"/>
      <c r="B122" s="188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</row>
    <row r="123" ht="15" customHeight="1" s="276">
      <c r="A123" s="7" t="n"/>
      <c r="B123" s="7" t="n"/>
      <c r="C123" s="153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</row>
    <row r="124" ht="11.25" customHeight="1" s="276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</row>
    <row r="125" ht="15.75" customHeight="1" s="276">
      <c r="A125" s="7" t="n"/>
      <c r="B125" s="7" t="n"/>
      <c r="C125" s="189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</row>
    <row r="126" ht="13.95" customHeight="1" s="276">
      <c r="A126" s="180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</row>
    <row r="127" ht="13.95" customHeight="1" s="276">
      <c r="A127" s="7" t="n"/>
      <c r="B127" s="107" t="n"/>
      <c r="C127" s="190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</row>
    <row r="128" ht="13.95" customHeight="1" s="276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</row>
    <row r="129" ht="27.45" customHeight="1" s="276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</row>
    <row r="130" ht="15.75" customHeight="1" s="276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</row>
    <row r="131" ht="15.75" customHeight="1" s="276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</row>
    <row r="132" ht="15.75" customHeight="1" s="276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</row>
    <row r="133" ht="15.75" customHeight="1" s="276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</row>
    <row r="134" ht="15.75" customHeight="1" s="276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</row>
    <row r="135" ht="14.5" customHeight="1" s="276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</row>
    <row r="136" ht="15.75" customHeight="1" s="276">
      <c r="A136" s="191" t="n"/>
      <c r="B136" s="191" t="n"/>
      <c r="C136" s="191" t="n"/>
      <c r="D136" s="191" t="n"/>
      <c r="E136" s="191" t="n"/>
      <c r="F136" s="191" t="n"/>
      <c r="G136" s="191" t="n"/>
      <c r="H136" s="191" t="n"/>
      <c r="I136" s="191" t="n"/>
      <c r="J136" s="191" t="n"/>
      <c r="K136" s="191" t="n"/>
      <c r="L136" s="191" t="n"/>
      <c r="M136" s="191" t="n"/>
      <c r="N136" s="191" t="n"/>
      <c r="O136" s="191" t="n"/>
      <c r="P136" s="191" t="n"/>
      <c r="Q136" s="191" t="n"/>
      <c r="R136" s="191" t="n"/>
      <c r="S136" s="191" t="n"/>
      <c r="T136" s="191" t="n"/>
      <c r="U136" s="191" t="n"/>
      <c r="V136" s="191" t="n"/>
      <c r="W136" s="191" t="n"/>
      <c r="X136" s="191" t="n"/>
      <c r="Y136" s="191" t="n"/>
      <c r="Z136" s="191" t="n"/>
      <c r="AA136" s="191" t="n"/>
      <c r="AB136" s="191" t="n"/>
      <c r="AC136" s="191" t="n"/>
      <c r="AD136" s="191" t="n"/>
      <c r="AE136" s="191" t="n"/>
      <c r="AF136" s="191" t="n"/>
      <c r="AG136" s="191" t="n"/>
      <c r="AH136" s="191" t="n"/>
      <c r="AI136" s="191" t="n"/>
      <c r="AJ136" s="191" t="n"/>
      <c r="AK136" s="191" t="n"/>
      <c r="AL136" s="191" t="n"/>
      <c r="AM136" s="191" t="n"/>
    </row>
    <row r="137" ht="13.95" customHeight="1" s="276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</row>
    <row r="138" ht="15.75" customHeight="1" s="276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</row>
    <row r="139" ht="17.15" customHeight="1" s="276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</row>
    <row r="140" ht="15.75" customHeight="1" s="276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</row>
    <row r="141" ht="15.75" customHeight="1" s="276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</row>
    <row r="142" ht="15.75" customHeight="1" s="276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</row>
    <row r="143" ht="15.75" customHeight="1" s="276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</row>
    <row r="144" ht="15.75" customHeight="1" s="276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</row>
    <row r="145" ht="15.75" customHeight="1" s="276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</row>
    <row r="146" ht="15.75" customHeight="1" s="27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</row>
    <row r="147" ht="15.75" customHeight="1" s="276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</row>
    <row r="148" ht="15.75" customHeight="1" s="276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</row>
    <row r="149" ht="15.75" customHeight="1" s="276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</row>
    <row r="150" ht="15.75" customHeight="1" s="276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</row>
    <row r="151" ht="15.75" customHeight="1" s="276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</row>
    <row r="152" ht="15.75" customHeight="1" s="276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</row>
    <row r="153" ht="15.75" customHeight="1" s="276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</row>
    <row r="154" ht="13.95" customHeight="1" s="276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</row>
    <row r="155" ht="15.75" customHeight="1" s="276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</row>
    <row r="156" ht="15.75" customHeight="1" s="27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</row>
    <row r="157" ht="15.75" customHeight="1" s="276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</row>
    <row r="158" ht="15.75" customHeight="1" s="276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</row>
    <row r="159" ht="15.75" customHeight="1" s="276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</row>
    <row r="160" ht="15.75" customHeight="1" s="276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</row>
    <row r="161" ht="15.75" customHeight="1" s="276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</row>
    <row r="162" ht="15.75" customHeight="1" s="276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</row>
    <row r="163" ht="15.75" customHeight="1" s="276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</row>
    <row r="164" ht="15.75" customHeight="1" s="276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</row>
    <row r="165" ht="15.75" customHeight="1" s="276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</row>
    <row r="166" ht="15.75" customHeight="1" s="27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</row>
    <row r="167" ht="15.75" customHeight="1" s="276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</row>
    <row r="168" ht="15.75" customHeight="1" s="276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</row>
    <row r="169" ht="15.75" customHeight="1" s="276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</row>
    <row r="170" ht="15.75" customHeight="1" s="276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</row>
    <row r="171" ht="15.75" customHeight="1" s="276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</row>
    <row r="172" ht="15.75" customHeight="1" s="276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</row>
    <row r="173" ht="15.75" customHeight="1" s="276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</row>
    <row r="174" ht="15.75" customHeight="1" s="276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</row>
    <row r="175" ht="15.75" customHeight="1" s="276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</row>
    <row r="176" ht="15.75" customHeight="1" s="2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</row>
    <row r="177" ht="15.75" customHeight="1" s="276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</row>
    <row r="178" ht="15.75" customHeight="1" s="276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</row>
    <row r="179" ht="15.75" customHeight="1" s="276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</row>
    <row r="180" ht="15.75" customHeight="1" s="276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</row>
    <row r="181" ht="15.75" customHeight="1" s="276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</row>
    <row r="182" ht="15.75" customHeight="1" s="276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</row>
    <row r="183" ht="15.75" customHeight="1" s="276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</row>
    <row r="184" ht="15.75" customHeight="1" s="276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</row>
    <row r="185" ht="15.75" customHeight="1" s="276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</row>
    <row r="186" ht="15.75" customHeight="1" s="27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</row>
    <row r="187" ht="15.75" customHeight="1" s="276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</row>
    <row r="188" ht="15.75" customHeight="1" s="276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</row>
    <row r="189" ht="15.75" customHeight="1" s="276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</row>
    <row r="190" ht="15.75" customHeight="1" s="276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</row>
    <row r="191" ht="15.75" customHeight="1" s="276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</row>
    <row r="192" ht="15.75" customHeight="1" s="276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</row>
    <row r="193" ht="15.75" customHeight="1" s="276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</row>
    <row r="194" ht="15.75" customHeight="1" s="276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</row>
    <row r="195" ht="15.75" customHeight="1" s="276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</row>
    <row r="196" ht="15.75" customHeight="1" s="27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</row>
    <row r="197" ht="15.75" customHeight="1" s="276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</row>
    <row r="198" ht="15.75" customHeight="1" s="276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</row>
    <row r="199" ht="15.75" customHeight="1" s="276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</row>
    <row r="200" ht="15.75" customHeight="1" s="276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</row>
    <row r="201" ht="15.75" customHeight="1" s="276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</row>
    <row r="202" ht="15.75" customHeight="1" s="276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</row>
    <row r="203" ht="15.75" customHeight="1" s="276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</row>
    <row r="204" ht="15.75" customHeight="1" s="276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</row>
    <row r="205" ht="15.75" customHeight="1" s="276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</row>
    <row r="206" ht="15.75" customHeight="1" s="27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</row>
    <row r="207" ht="15.75" customHeight="1" s="276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</row>
    <row r="208" ht="15.75" customHeight="1" s="276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</row>
    <row r="209" ht="15.75" customHeight="1" s="276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</row>
    <row r="210" ht="15.75" customHeight="1" s="276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</row>
    <row r="211" ht="15.75" customHeight="1" s="276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</row>
    <row r="212" ht="15.75" customHeight="1" s="276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</row>
    <row r="213" ht="15.75" customHeight="1" s="276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</row>
    <row r="214" ht="15.75" customHeight="1" s="276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</row>
    <row r="215" ht="15.75" customHeight="1" s="276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</row>
    <row r="216" ht="15.75" customHeight="1" s="27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</row>
    <row r="217" ht="15.75" customHeight="1" s="276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</row>
    <row r="218" ht="15.75" customHeight="1" s="276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</row>
    <row r="219" ht="15.75" customHeight="1" s="276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</row>
    <row r="220" ht="15.75" customHeight="1" s="276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</row>
    <row r="221" ht="15.75" customHeight="1" s="276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</row>
    <row r="222" ht="15.75" customHeight="1" s="276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</row>
    <row r="223" ht="15.75" customHeight="1" s="276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</row>
    <row r="224" ht="15.75" customHeight="1" s="276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</row>
    <row r="225" ht="15.75" customHeight="1" s="276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</row>
    <row r="226" ht="15.75" customHeight="1" s="27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</row>
    <row r="227" ht="15.75" customHeight="1" s="276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</row>
    <row r="228" ht="15.75" customHeight="1" s="276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</row>
    <row r="229" ht="15.75" customHeight="1" s="276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</row>
    <row r="230" ht="15.75" customHeight="1" s="276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</row>
    <row r="231" ht="15.75" customHeight="1" s="276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</row>
    <row r="232" ht="15.75" customHeight="1" s="276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</row>
    <row r="233" ht="15.75" customHeight="1" s="276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</row>
    <row r="234" ht="15.75" customHeight="1" s="276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</row>
    <row r="235" ht="15.75" customHeight="1" s="276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</row>
    <row r="236" ht="15.75" customHeight="1" s="27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</row>
    <row r="237" ht="15.75" customHeight="1" s="276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</row>
    <row r="238" ht="15.75" customHeight="1" s="276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</row>
    <row r="239" ht="15.75" customHeight="1" s="276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</row>
    <row r="240" ht="15.75" customHeight="1" s="276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</row>
    <row r="241" ht="15.75" customHeight="1" s="276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</row>
    <row r="242" ht="15.75" customHeight="1" s="276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</row>
    <row r="243" ht="15.75" customHeight="1" s="276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</row>
    <row r="244" ht="15.75" customHeight="1" s="276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</row>
    <row r="245" ht="15.75" customHeight="1" s="276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</row>
    <row r="246" ht="15.75" customHeight="1" s="27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</row>
    <row r="247" ht="15.75" customHeight="1" s="276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</row>
    <row r="248" ht="15.75" customHeight="1" s="276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</row>
    <row r="249" ht="15.75" customHeight="1" s="276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</row>
    <row r="250" ht="15.75" customHeight="1" s="276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</row>
    <row r="251" ht="15.75" customHeight="1" s="276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</row>
    <row r="252" ht="33" customHeight="1" s="276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</row>
    <row r="253" ht="15.75" customHeight="1" s="276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</row>
    <row r="254" ht="15.75" customHeight="1" s="276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</row>
    <row r="255" ht="15.75" customHeight="1" s="276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</row>
    <row r="256" ht="15.75" customHeight="1" s="27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</row>
    <row r="257" ht="23.25" customHeight="1" s="276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</row>
    <row r="258" ht="15.75" customHeight="1" s="276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</row>
    <row r="259" ht="15.75" customHeight="1" s="276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</row>
    <row r="260" ht="15.75" customHeight="1" s="276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</row>
    <row r="261" ht="15.75" customHeight="1" s="276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</row>
    <row r="262" ht="15.75" customHeight="1" s="276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</row>
    <row r="263" ht="15.75" customHeight="1" s="276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</row>
    <row r="264" ht="15.75" customHeight="1" s="276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</row>
    <row r="265" ht="15.75" customHeight="1" s="276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</row>
    <row r="266" ht="15.75" customHeight="1" s="27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</row>
    <row r="267" ht="15.75" customHeight="1" s="276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</row>
    <row r="268" ht="15.75" customHeight="1" s="276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</row>
    <row r="269" ht="15.75" customHeight="1" s="276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</row>
    <row r="270" ht="15.75" customHeight="1" s="276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</row>
    <row r="271" ht="15.75" customHeight="1" s="276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</row>
    <row r="272" ht="15.75" customHeight="1" s="276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</row>
    <row r="273" ht="15.75" customHeight="1" s="276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</row>
    <row r="274" ht="15.75" customHeight="1" s="276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</row>
    <row r="275" ht="15.75" customHeight="1" s="276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</row>
    <row r="276" ht="15.75" customHeight="1" s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</row>
    <row r="277" ht="15.75" customHeight="1" s="276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</row>
    <row r="278" ht="15.75" customHeight="1" s="276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</row>
    <row r="279" ht="15.75" customHeight="1" s="276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</row>
    <row r="280" ht="15.75" customHeight="1" s="276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</row>
    <row r="281" ht="15.75" customHeight="1" s="276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</row>
    <row r="282" ht="15.75" customHeight="1" s="276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</row>
    <row r="283" ht="15.75" customHeight="1" s="276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</row>
    <row r="284" ht="15.75" customHeight="1" s="276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</row>
    <row r="285" ht="15.75" customHeight="1" s="276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</row>
    <row r="286" ht="15.75" customHeight="1" s="27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</row>
  </sheetData>
  <mergeCells count="12">
    <mergeCell ref="J64:K64"/>
    <mergeCell ref="C3:P3"/>
    <mergeCell ref="N64:O64"/>
    <mergeCell ref="C4:C5"/>
    <mergeCell ref="D4:D5"/>
    <mergeCell ref="M4:O4"/>
    <mergeCell ref="C43:O43"/>
    <mergeCell ref="E4:G4"/>
    <mergeCell ref="I4:K4"/>
    <mergeCell ref="R64:T64"/>
    <mergeCell ref="F64:G64"/>
    <mergeCell ref="V64:W64"/>
  </mergeCells>
  <conditionalFormatting sqref="P4:U42">
    <cfRule type="expression" priority="1" dxfId="0">
      <formula>$V$40=""</formula>
    </cfRule>
  </conditionalFormatting>
  <dataValidations count="3">
    <dataValidation sqref="V48:W48" showDropDown="0" showInputMessage="0" showErrorMessage="1" allowBlank="1" type="list" errorStyle="stop">
      <formula1>$C$6:$C$42</formula1>
    </dataValidation>
    <dataValidation sqref="B127:C127" showDropDown="0" showInputMessage="0" showErrorMessage="0" allowBlank="1" type="list" errorStyle="stop">
      <formula1>$C$6:$C$42</formula1>
    </dataValidation>
    <dataValidation sqref="B69:C69" showDropDown="0" showInputMessage="0" showErrorMessage="0" allowBlank="1" type="list" errorStyle="stop">
      <formula1>$C$6:$C$42</formula1>
    </dataValidation>
  </dataValidations>
  <hyperlinks>
    <hyperlink ref="C104" location="Sheet2!CU24" display="Sheet2!CU24"/>
  </hyperlinks>
  <pageMargins left="0.7" right="0.7" top="0.75" bottom="0.75" header="0" footer="0"/>
  <pageSetup orientation="landscape" paperSize="9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Y77"/>
  <sheetViews>
    <sheetView topLeftCell="X1" zoomScale="58" workbookViewId="0">
      <selection activeCell="P73" sqref="P73"/>
    </sheetView>
  </sheetViews>
  <sheetFormatPr baseColWidth="8" defaultColWidth="14" defaultRowHeight="15" customHeight="1"/>
  <cols>
    <col width="10" customWidth="1" style="276" min="1" max="2"/>
    <col width="11.136719" customWidth="1" style="276" min="3" max="4"/>
    <col width="17.429688" customWidth="1" style="276" min="5" max="5"/>
    <col width="12.136719" customWidth="1" style="276" min="6" max="6"/>
    <col width="12.4296875" customWidth="1" style="276" min="7" max="7"/>
    <col width="12.136719" customWidth="1" style="276" min="8" max="9"/>
    <col width="10" customWidth="1" style="276" min="10" max="10"/>
    <col width="12" customWidth="1" style="276" min="11" max="11"/>
    <col width="16.429688" customWidth="1" style="276" min="12" max="12"/>
    <col width="15" customWidth="1" style="276" min="13" max="13"/>
    <col width="10.136719" customWidth="1" style="276" min="14" max="14"/>
    <col width="11.859375" customWidth="1" style="276" min="15" max="15"/>
    <col width="10" customWidth="1" style="276" min="16" max="16"/>
    <col width="12.136719" customWidth="1" style="276" min="17" max="17"/>
    <col width="11.4296875" customWidth="1" style="276" min="18" max="18"/>
    <col width="12.136719" customWidth="1" style="276" min="19" max="22"/>
    <col width="11.566406" customWidth="1" style="276" min="23" max="23"/>
    <col width="12.136719" customWidth="1" style="276" min="24" max="25"/>
    <col width="11.707031" customWidth="1" style="276" min="26" max="26"/>
    <col width="11.136719" customWidth="1" style="276" min="27" max="29"/>
    <col width="10" customWidth="1" style="276" min="30" max="31"/>
    <col width="5.1367188" customWidth="1" style="276" min="32" max="32"/>
    <col width="10" customWidth="1" style="276" min="33" max="36"/>
    <col width="10.859375" customWidth="1" style="276" min="37" max="37"/>
    <col width="10" customWidth="1" style="276" min="38" max="40"/>
    <col width="10.566406" customWidth="1" style="276" min="41" max="41"/>
    <col width="12" customWidth="1" style="276" min="42" max="42"/>
    <col width="11" customWidth="1" style="276" min="43" max="43"/>
    <col width="12.2890625" customWidth="1" style="276" min="44" max="44"/>
    <col width="10" customWidth="1" style="276" min="45" max="45"/>
    <col width="11.707031" customWidth="1" style="276" min="46" max="46"/>
    <col width="11.4296875" customWidth="1" style="276" min="47" max="49"/>
    <col width="14.2890625" customWidth="1" style="276" min="50" max="50"/>
    <col width="12.2890625" customWidth="1" style="276" min="51" max="51"/>
    <col width="10.859375" customWidth="1" style="276" min="52" max="52"/>
    <col width="11.136719" customWidth="1" style="276" min="53" max="53"/>
    <col width="10.859375" customWidth="1" style="276" min="54" max="54"/>
    <col width="10" customWidth="1" style="276" min="55" max="63"/>
    <col width="10.707031" customWidth="1" style="276" min="64" max="64"/>
    <col width="10" customWidth="1" style="276" min="65" max="67"/>
    <col width="11.859375" customWidth="1" style="276" min="68" max="68"/>
    <col width="12" customWidth="1" style="276" min="69" max="69"/>
    <col width="10" customWidth="1" style="276" min="70" max="70"/>
    <col width="11.707031" customWidth="1" style="276" min="71" max="71"/>
    <col width="10.707031" customWidth="1" style="276" min="72" max="72"/>
    <col width="11.136719" customWidth="1" style="276" min="73" max="74"/>
    <col width="11.707031" customWidth="1" style="276" min="75" max="76"/>
    <col width="10" customWidth="1" style="276" min="77" max="77"/>
    <col width="13.136719" customWidth="1" style="276" min="78" max="78"/>
    <col width="14.2890625" customWidth="1" style="276" min="79" max="79"/>
    <col width="10" customWidth="1" style="276" min="80" max="91"/>
    <col width="11.707031" customWidth="1" style="276" min="92" max="92"/>
    <col width="10" customWidth="1" style="276" min="93" max="93"/>
    <col width="12" customWidth="1" style="276" min="94" max="94"/>
    <col width="10" customWidth="1" style="276" min="95" max="95"/>
    <col width="10.707031" customWidth="1" style="276" min="96" max="97"/>
    <col width="11.136719" customWidth="1" style="276" min="98" max="99"/>
    <col width="11.707031" customWidth="1" style="276" min="100" max="101"/>
    <col width="12.136719" customWidth="1" style="276" min="102" max="102"/>
    <col width="11.136719" customWidth="1" style="276" min="103" max="103"/>
    <col width="10" customWidth="1" style="276" min="104" max="114"/>
    <col width="13.859375" customWidth="1" style="276" min="115" max="115"/>
    <col width="10" customWidth="1" style="276" min="116" max="116"/>
    <col width="11.136719" customWidth="1" style="276" min="117" max="117"/>
    <col width="11.2890625" customWidth="1" style="276" min="118" max="118"/>
    <col width="12" customWidth="1" style="276" min="119" max="119"/>
    <col width="10" customWidth="1" style="276" min="120" max="120"/>
    <col width="10.707031" customWidth="1" style="276" min="121" max="122"/>
    <col width="11.136719" customWidth="1" style="276" min="123" max="124"/>
    <col width="11.707031" customWidth="1" style="276" min="125" max="126"/>
    <col width="12.136719" customWidth="1" style="276" min="127" max="127"/>
    <col width="10" customWidth="1" style="276" min="128" max="129"/>
  </cols>
  <sheetData>
    <row r="1" ht="15" customHeight="1" s="276">
      <c r="A1" s="0" t="n"/>
      <c r="Q1" s="0">
        <f>AVERAGE(N8:O11,N7,P9,P10,P11,Q10,Q11,R11)</f>
        <v/>
      </c>
      <c r="R1" s="0">
        <f>AVERAGE(N6,O7,P8,Q9,R10,S11)</f>
        <v/>
      </c>
      <c r="S1" s="0">
        <f>AVERAGE(R6:S9,S10,Q6,Q7,Q8,P7,P6,O6)</f>
        <v/>
      </c>
      <c r="U1" s="192" t="n">
        <v>0</v>
      </c>
      <c r="V1" s="192">
        <f>U1+1</f>
        <v/>
      </c>
      <c r="W1" s="192">
        <f>V1+1</f>
        <v/>
      </c>
      <c r="X1" s="192">
        <f>W1+1</f>
        <v/>
      </c>
      <c r="Y1" s="192">
        <f>X1+1</f>
        <v/>
      </c>
      <c r="AP1" s="0">
        <f>AVERAGE(AM8:AN11,AM7,AO9,AO10,AO11,AP10,AP11,AQ11)</f>
        <v/>
      </c>
      <c r="AQ1" s="0">
        <f>AVERAGE(AM6,AN7,AO8,AP9,AQ10,AR11)</f>
        <v/>
      </c>
      <c r="AR1" s="0">
        <f>AVERAGE(AQ6:AR9,AR10,AP6,AP7,AP8,AO7,AO6,AN6)</f>
        <v/>
      </c>
      <c r="AT1" s="192" t="n">
        <v>0</v>
      </c>
      <c r="AU1" s="192">
        <f>AT1+1</f>
        <v/>
      </c>
      <c r="AV1" s="192">
        <f>AU1+1</f>
        <v/>
      </c>
      <c r="AW1" s="192">
        <f>AV1+1</f>
        <v/>
      </c>
      <c r="AX1" s="192">
        <f>AW1+1</f>
        <v/>
      </c>
      <c r="BS1" s="192" t="n">
        <v>0</v>
      </c>
      <c r="BT1" s="192">
        <f>BS1+1</f>
        <v/>
      </c>
      <c r="BU1" s="192">
        <f>BT1+1</f>
        <v/>
      </c>
      <c r="BV1" s="192">
        <f>BU1+1</f>
        <v/>
      </c>
      <c r="BW1" s="192">
        <f>BV1+1</f>
        <v/>
      </c>
      <c r="CR1" s="192" t="n">
        <v>0</v>
      </c>
      <c r="CS1" s="192">
        <f>CR1+1</f>
        <v/>
      </c>
      <c r="CT1" s="192">
        <f>CS1+1</f>
        <v/>
      </c>
      <c r="CU1" s="192">
        <f>CT1+1</f>
        <v/>
      </c>
      <c r="CV1" s="192">
        <f>CU1+1</f>
        <v/>
      </c>
      <c r="DQ1" s="192" t="n">
        <v>0</v>
      </c>
      <c r="DR1" s="192">
        <f>DQ1+1</f>
        <v/>
      </c>
      <c r="DS1" s="192">
        <f>DR1+1</f>
        <v/>
      </c>
      <c r="DT1" s="192">
        <f>DS1+1</f>
        <v/>
      </c>
      <c r="DU1" s="192">
        <f>DT1+1</f>
        <v/>
      </c>
    </row>
    <row r="2" ht="15" customHeight="1" s="276">
      <c r="L2" s="193" t="n"/>
      <c r="M2" s="194" t="n"/>
      <c r="N2" s="194">
        <f>IF(AND(O3&lt;&gt;"bad",O16&gt;67,Sheet1!H104&lt;&gt;"high",Y25&lt;&gt;"D'over",OR(Sheet1!B5="",Sheet1!B70="")),"good+1",IF(AND(O3&lt;&gt;"bad",O16&gt;67,Sheet1!H104&lt;&gt;"high",Y25&lt;&gt;"D'over"),"good","bad"))</f>
        <v/>
      </c>
      <c r="O2" s="194">
        <f>IF(AND(Sheet1!E114="yes",Sheet1!B115&lt;14),"ok","no")</f>
        <v/>
      </c>
      <c r="P2" s="194" t="n">
        <v>1</v>
      </c>
      <c r="Q2" s="194">
        <f>AVERAGE(C5,Q1)</f>
        <v/>
      </c>
      <c r="R2" s="194">
        <f>(Sheet1!N105/1000)+Q3</f>
        <v/>
      </c>
      <c r="S2" s="194">
        <f>AVERAGE(S1,D5)</f>
        <v/>
      </c>
      <c r="T2" s="194">
        <f>AVERAGE(C5,D5)</f>
        <v/>
      </c>
      <c r="U2" s="192">
        <f>POISSON(U1,$T$2,FALSE)*100</f>
        <v/>
      </c>
      <c r="V2" s="192">
        <f>POISSON(V1,$T$2,FALSE)*100</f>
        <v/>
      </c>
      <c r="W2" s="192">
        <f>POISSON(W1,$T$2,FALSE)*100</f>
        <v/>
      </c>
      <c r="X2" s="192">
        <f>POISSON(X1,$T$2,FALSE)*100</f>
        <v/>
      </c>
      <c r="Y2" s="192">
        <f>POISSON(Y1,$T$2,FALSE)*100</f>
        <v/>
      </c>
      <c r="Z2" s="0">
        <f>SUM(U2:Y2,U4:Y4)</f>
        <v/>
      </c>
      <c r="AK2" s="193" t="n"/>
      <c r="AL2" s="194" t="n"/>
      <c r="AM2" s="194" t="n"/>
      <c r="AN2" s="194" t="n">
        <v>2</v>
      </c>
      <c r="AO2" s="194" t="n"/>
      <c r="AP2" s="194">
        <f>AVERAGE(AP1,C6)</f>
        <v/>
      </c>
      <c r="AQ2" s="194" t="n"/>
      <c r="AR2" s="194">
        <f>AVERAGE(AR1,D6)</f>
        <v/>
      </c>
      <c r="AS2" s="194">
        <f>AVERAGE(C6,D6)</f>
        <v/>
      </c>
      <c r="AT2" s="192">
        <f>POISSON(AT1,$AS$2,FALSE)*100</f>
        <v/>
      </c>
      <c r="AU2" s="192">
        <f>POISSON(AU1,$AS$2,FALSE)*100</f>
        <v/>
      </c>
      <c r="AV2" s="192">
        <f>POISSON(AV1,$AS$2,FALSE)*100</f>
        <v/>
      </c>
      <c r="AW2" s="192">
        <f>POISSON(AW1,$AS$2,FALSE)*100</f>
        <v/>
      </c>
      <c r="AX2" s="192">
        <f>POISSON(AX1,$AS$2,FALSE)*100</f>
        <v/>
      </c>
      <c r="AY2" s="0">
        <f>SUM(AT2:AX2,AT4:AX4)</f>
        <v/>
      </c>
      <c r="BA2" s="192" t="n"/>
      <c r="BJ2" s="193" t="n"/>
      <c r="BK2" s="194" t="n"/>
      <c r="BL2" s="194" t="n"/>
      <c r="BM2" s="194" t="n">
        <v>3</v>
      </c>
      <c r="BN2" s="194" t="n"/>
      <c r="BO2" s="194" t="n"/>
      <c r="BP2" s="194" t="n"/>
      <c r="BQ2" s="194" t="n"/>
      <c r="BR2" s="194">
        <f>AVERAGE(C7,D7)</f>
        <v/>
      </c>
      <c r="BS2" s="192">
        <f>POISSON(BS1,$BR$2,FALSE)*100</f>
        <v/>
      </c>
      <c r="BT2" s="192">
        <f>POISSON(BT1,$BR$2,FALSE)*100</f>
        <v/>
      </c>
      <c r="BU2" s="192">
        <f>POISSON(BU1,$BR$2,FALSE)*100</f>
        <v/>
      </c>
      <c r="BV2" s="192">
        <f>POISSON(BV1,$BR$2,FALSE)*100</f>
        <v/>
      </c>
      <c r="BW2" s="192">
        <f>POISSON(BW1,$BR$2,FALSE)*100</f>
        <v/>
      </c>
      <c r="BX2" s="0">
        <f>SUM(BS2:BW2,BS4:BW4)</f>
        <v/>
      </c>
      <c r="CI2" s="193" t="n"/>
      <c r="CJ2" s="194" t="n"/>
      <c r="CK2" s="194" t="n"/>
      <c r="CL2" s="194" t="n">
        <v>4</v>
      </c>
      <c r="CM2" s="194" t="n"/>
      <c r="CN2" s="194" t="n"/>
      <c r="CO2" s="194" t="n"/>
      <c r="CP2" s="194" t="n"/>
      <c r="CQ2" s="194">
        <f>AVERAGE(C8,D8)</f>
        <v/>
      </c>
      <c r="CR2" s="192">
        <f>POISSON(CR1,$CQ$2,FALSE)*100</f>
        <v/>
      </c>
      <c r="CS2" s="192">
        <f>POISSON(CS1,$CQ$2,FALSE)*100</f>
        <v/>
      </c>
      <c r="CT2" s="192">
        <f>POISSON(CT1,$CQ$2,FALSE)*100</f>
        <v/>
      </c>
      <c r="CU2" s="192">
        <f>POISSON(CU1,$CQ$2,FALSE)*100</f>
        <v/>
      </c>
      <c r="CV2" s="192">
        <f>POISSON(CV1,$CQ$2,FALSE)*100</f>
        <v/>
      </c>
      <c r="CW2" s="0">
        <f>SUM(CR2:CV2,CR4:CV4)</f>
        <v/>
      </c>
      <c r="DH2" s="193" t="n"/>
      <c r="DI2" s="194" t="n"/>
      <c r="DJ2" s="194" t="n"/>
      <c r="DK2" s="194" t="n">
        <v>5</v>
      </c>
      <c r="DL2" s="194" t="n"/>
      <c r="DM2" s="194" t="n"/>
      <c r="DN2" s="194" t="n"/>
      <c r="DO2" s="194" t="n"/>
      <c r="DP2" s="194">
        <f>AVERAGE(C9,D9)</f>
        <v/>
      </c>
      <c r="DQ2" s="192">
        <f>POISSON(DQ1,$DP$2,FALSE)*100</f>
        <v/>
      </c>
      <c r="DR2" s="192">
        <f>POISSON(DR1,$DP$2,FALSE)*100</f>
        <v/>
      </c>
      <c r="DS2" s="192">
        <f>POISSON(DS1,$DP$2,FALSE)*100</f>
        <v/>
      </c>
      <c r="DT2" s="192">
        <f>POISSON(DT1,$DP$2,FALSE)*100</f>
        <v/>
      </c>
      <c r="DU2" s="192">
        <f>POISSON(DU1,$DP$2,FALSE)*100</f>
        <v/>
      </c>
      <c r="DV2" s="0">
        <f>SUM(DQ2:DU2,DQ4:DU4)</f>
        <v/>
      </c>
    </row>
    <row r="3" ht="15" customHeight="1" s="276">
      <c r="F3" s="0" t="n">
        <v>1</v>
      </c>
      <c r="L3" s="195" t="n"/>
      <c r="M3" s="192" t="n"/>
      <c r="N3" s="192" t="n"/>
      <c r="O3" s="192">
        <f>IF(AND(O2="ok",P3="yes1"),"wow",IF(AND(O2="ok",P3="yes"),"good","bad"))</f>
        <v/>
      </c>
      <c r="P3" s="192">
        <f>IF(AND(Sheet1!M106&lt;&gt;"F",S3="F"),"yes1",IF(AND(S3&lt;&gt;"F",Sheet1!M106&lt;&gt;"F"),"yes","no"))</f>
        <v/>
      </c>
      <c r="Q3" s="192">
        <f>AR3-AP3</f>
        <v/>
      </c>
      <c r="R3" s="192">
        <f>(ABS(R2))*100+(Sheet1!I106)*10</f>
        <v/>
      </c>
      <c r="S3" s="192">
        <f>IF(R3&lt;30,"A",IF(R3&lt;34,"B",IF(R3&lt;40,"C","F")))</f>
        <v/>
      </c>
      <c r="T3" s="192">
        <f>C5-D5</f>
        <v/>
      </c>
      <c r="U3" s="192" t="n">
        <v>5</v>
      </c>
      <c r="V3" s="192">
        <f>U3+1</f>
        <v/>
      </c>
      <c r="W3" s="192">
        <f>V3+1</f>
        <v/>
      </c>
      <c r="X3" s="192">
        <f>W3+1</f>
        <v/>
      </c>
      <c r="Y3" s="192">
        <f>X3+1</f>
        <v/>
      </c>
      <c r="Z3" s="0" t="n">
        <v>0</v>
      </c>
      <c r="AA3" s="0">
        <f>U2</f>
        <v/>
      </c>
      <c r="AB3" s="0">
        <f>AA4-AA3</f>
        <v/>
      </c>
      <c r="AC3" s="196" t="n">
        <v>9.818757466481198</v>
      </c>
      <c r="AE3" s="0" t="n">
        <v>2</v>
      </c>
      <c r="AK3" s="195" t="n"/>
      <c r="AL3" s="192" t="n"/>
      <c r="AM3" s="192" t="n"/>
      <c r="AN3" s="192" t="n"/>
      <c r="AO3" s="192" t="n"/>
      <c r="AP3" s="192">
        <f>AVERAGE(AP2,S2)</f>
        <v/>
      </c>
      <c r="AQ3" s="192" t="n"/>
      <c r="AR3" s="192">
        <f>AVERAGE(AR2,Q2)</f>
        <v/>
      </c>
      <c r="AS3" s="192">
        <f>C6-D6</f>
        <v/>
      </c>
      <c r="AT3" s="192" t="n">
        <v>5</v>
      </c>
      <c r="AU3" s="192">
        <f>AT3+1</f>
        <v/>
      </c>
      <c r="AV3" s="192">
        <f>AU3+1</f>
        <v/>
      </c>
      <c r="AW3" s="192">
        <f>AV3+1</f>
        <v/>
      </c>
      <c r="AX3" s="192">
        <f>AW3+1</f>
        <v/>
      </c>
      <c r="AY3" s="0" t="n">
        <v>0</v>
      </c>
      <c r="AZ3" s="0">
        <f>AT2</f>
        <v/>
      </c>
      <c r="BA3" s="0">
        <f>AZ4-AZ3</f>
        <v/>
      </c>
      <c r="BB3" s="196" t="n">
        <v>9.818757466481198</v>
      </c>
      <c r="BD3" s="0" t="n">
        <v>3</v>
      </c>
      <c r="BJ3" s="195" t="n"/>
      <c r="BK3" s="192" t="n"/>
      <c r="BL3" s="192" t="n"/>
      <c r="BM3" s="192" t="n"/>
      <c r="BN3" s="192" t="n"/>
      <c r="BO3" s="192" t="n"/>
      <c r="BP3" s="192" t="n"/>
      <c r="BQ3" s="192" t="n"/>
      <c r="BR3" s="192">
        <f>C7-D7</f>
        <v/>
      </c>
      <c r="BS3" s="192" t="n">
        <v>5</v>
      </c>
      <c r="BT3" s="192">
        <f>BS3+1</f>
        <v/>
      </c>
      <c r="BU3" s="192">
        <f>BT3+1</f>
        <v/>
      </c>
      <c r="BV3" s="192">
        <f>BU3+1</f>
        <v/>
      </c>
      <c r="BW3" s="192">
        <f>BV3+1</f>
        <v/>
      </c>
      <c r="BX3" s="0" t="n">
        <v>0</v>
      </c>
      <c r="BY3" s="0">
        <f>BS2</f>
        <v/>
      </c>
      <c r="BZ3" s="0">
        <f>BY4-BY3</f>
        <v/>
      </c>
      <c r="CA3" s="0">
        <f>BZ3-BZ4</f>
        <v/>
      </c>
      <c r="CC3" s="0" t="n">
        <v>4</v>
      </c>
      <c r="CI3" s="195" t="n"/>
      <c r="CJ3" s="192" t="n"/>
      <c r="CK3" s="192" t="n"/>
      <c r="CL3" s="192" t="n"/>
      <c r="CM3" s="192" t="n"/>
      <c r="CN3" s="192" t="n"/>
      <c r="CO3" s="192" t="n"/>
      <c r="CP3" s="192" t="n"/>
      <c r="CQ3" s="192">
        <f>C8-D8</f>
        <v/>
      </c>
      <c r="CR3" s="192" t="n">
        <v>5</v>
      </c>
      <c r="CS3" s="192">
        <f>CR3+1</f>
        <v/>
      </c>
      <c r="CT3" s="192">
        <f>CS3+1</f>
        <v/>
      </c>
      <c r="CU3" s="192">
        <f>CT3+1</f>
        <v/>
      </c>
      <c r="CV3" s="192">
        <f>CU3+1</f>
        <v/>
      </c>
      <c r="CW3" s="0" t="n">
        <v>0</v>
      </c>
      <c r="CX3" s="0">
        <f>CR2</f>
        <v/>
      </c>
      <c r="CY3" s="0">
        <f>CX4-CX3</f>
        <v/>
      </c>
      <c r="CZ3" s="0">
        <f>CY3-CY4</f>
        <v/>
      </c>
      <c r="DB3" s="0" t="n">
        <v>5</v>
      </c>
      <c r="DH3" s="195" t="n"/>
      <c r="DI3" s="192" t="n"/>
      <c r="DJ3" s="192" t="n"/>
      <c r="DK3" s="192" t="n"/>
      <c r="DL3" s="192" t="n"/>
      <c r="DM3" s="192" t="n"/>
      <c r="DN3" s="192" t="n"/>
      <c r="DO3" s="192" t="n"/>
      <c r="DP3" s="192">
        <f>C9-D9</f>
        <v/>
      </c>
      <c r="DQ3" s="192" t="n">
        <v>5</v>
      </c>
      <c r="DR3" s="192">
        <f>DQ3+1</f>
        <v/>
      </c>
      <c r="DS3" s="192">
        <f>DR3+1</f>
        <v/>
      </c>
      <c r="DT3" s="192">
        <f>DS3+1</f>
        <v/>
      </c>
      <c r="DU3" s="192">
        <f>DT3+1</f>
        <v/>
      </c>
      <c r="DV3" s="0" t="n">
        <v>0</v>
      </c>
      <c r="DW3" s="0">
        <f>DQ2</f>
        <v/>
      </c>
      <c r="DX3" s="0">
        <f>DW4-DW3</f>
        <v/>
      </c>
      <c r="DY3" s="0">
        <f>DX3-DX4</f>
        <v/>
      </c>
    </row>
    <row r="4" ht="15" customHeight="1" s="276">
      <c r="C4" s="0" t="inlineStr">
        <is>
          <t xml:space="preserve">home </t>
        </is>
      </c>
      <c r="D4" s="0" t="inlineStr">
        <is>
          <t xml:space="preserve">away </t>
        </is>
      </c>
      <c r="E4" s="197">
        <f>Sheet1!F48</f>
        <v/>
      </c>
      <c r="F4" s="194" t="n"/>
      <c r="G4" s="198">
        <f>Sheet1!G48</f>
        <v/>
      </c>
      <c r="H4" s="194" t="inlineStr">
        <is>
          <t xml:space="preserve">chances </t>
        </is>
      </c>
      <c r="I4" s="199" t="n"/>
      <c r="L4" s="195" t="inlineStr">
        <is>
          <t xml:space="preserve">no. of goals </t>
        </is>
      </c>
      <c r="M4" s="200">
        <f>G4</f>
        <v/>
      </c>
      <c r="N4" s="192" t="n">
        <v>0</v>
      </c>
      <c r="O4" s="192">
        <f>N4+1</f>
        <v/>
      </c>
      <c r="P4" s="192">
        <f>O4+1</f>
        <v/>
      </c>
      <c r="Q4" s="192">
        <f>P4+1</f>
        <v/>
      </c>
      <c r="R4" s="192">
        <f>Q4+1</f>
        <v/>
      </c>
      <c r="S4" s="192">
        <f>R4+1</f>
        <v/>
      </c>
      <c r="T4" s="192" t="n"/>
      <c r="U4" s="192">
        <f>POISSON(U3,$T$2,FALSE)*100</f>
        <v/>
      </c>
      <c r="V4" s="192">
        <f>POISSON(V3,$T$2,FALSE)*100</f>
        <v/>
      </c>
      <c r="W4" s="192">
        <f>POISSON(W3,$T$2,FALSE)*100</f>
        <v/>
      </c>
      <c r="X4" s="192">
        <f>POISSON(X3,$T$2,FALSE)*100</f>
        <v/>
      </c>
      <c r="Y4" s="192">
        <f>POISSON(Y3,$T$2,FALSE)*100</f>
        <v/>
      </c>
      <c r="Z4" s="0">
        <f>Z3+1</f>
        <v/>
      </c>
      <c r="AA4" s="0">
        <f>SUM(U2,V2)</f>
        <v/>
      </c>
      <c r="AB4" s="0">
        <f>AA5-AA4</f>
        <v/>
      </c>
      <c r="AC4" s="196" t="n">
        <v>12.8149044841065</v>
      </c>
      <c r="AD4" s="197">
        <f>Sheet1!J48</f>
        <v/>
      </c>
      <c r="AE4" s="194" t="n"/>
      <c r="AF4" s="198">
        <f>Sheet1!K48</f>
        <v/>
      </c>
      <c r="AG4" s="194" t="inlineStr">
        <is>
          <t xml:space="preserve">chances </t>
        </is>
      </c>
      <c r="AH4" s="199" t="n"/>
      <c r="AK4" s="195" t="inlineStr">
        <is>
          <t xml:space="preserve">no. of goals </t>
        </is>
      </c>
      <c r="AL4" s="200">
        <f>AF4</f>
        <v/>
      </c>
      <c r="AM4" s="192" t="n">
        <v>0</v>
      </c>
      <c r="AN4" s="192">
        <f>AM4+1</f>
        <v/>
      </c>
      <c r="AO4" s="192">
        <f>AN4+1</f>
        <v/>
      </c>
      <c r="AP4" s="192">
        <f>AO4+1</f>
        <v/>
      </c>
      <c r="AQ4" s="192">
        <f>AP4+1</f>
        <v/>
      </c>
      <c r="AR4" s="192">
        <f>AQ4+1</f>
        <v/>
      </c>
      <c r="AS4" s="192" t="n"/>
      <c r="AT4" s="192">
        <f>POISSON(AT3,$AS$2,FALSE)*100</f>
        <v/>
      </c>
      <c r="AU4" s="192">
        <f>POISSON(AU3,$AS$2,FALSE)*100</f>
        <v/>
      </c>
      <c r="AV4" s="192">
        <f>POISSON(AV3,$AS$2,FALSE)*100</f>
        <v/>
      </c>
      <c r="AW4" s="192">
        <f>POISSON(AW3,$AS$2,FALSE)*100</f>
        <v/>
      </c>
      <c r="AX4" s="192">
        <f>POISSON(AX3,$AS$2,FALSE)*100</f>
        <v/>
      </c>
      <c r="AY4" s="0">
        <f>AY3+1</f>
        <v/>
      </c>
      <c r="AZ4" s="0">
        <f>SUM(AT2,AU2)</f>
        <v/>
      </c>
      <c r="BA4" s="0">
        <f>AZ5-AZ4</f>
        <v/>
      </c>
      <c r="BB4" s="196" t="n">
        <v>12.8149044841065</v>
      </c>
      <c r="BC4" s="197">
        <f>Sheet1!N48</f>
        <v/>
      </c>
      <c r="BD4" s="194" t="n"/>
      <c r="BE4" s="198">
        <f>Sheet1!O48</f>
        <v/>
      </c>
      <c r="BF4" s="194" t="inlineStr">
        <is>
          <t xml:space="preserve">chances </t>
        </is>
      </c>
      <c r="BG4" s="199" t="n"/>
      <c r="BJ4" s="195" t="inlineStr">
        <is>
          <t xml:space="preserve">no. of goals </t>
        </is>
      </c>
      <c r="BK4" s="200">
        <f>BE4</f>
        <v/>
      </c>
      <c r="BL4" s="192" t="n">
        <v>0</v>
      </c>
      <c r="BM4" s="192">
        <f>BL4+1</f>
        <v/>
      </c>
      <c r="BN4" s="192">
        <f>BM4+1</f>
        <v/>
      </c>
      <c r="BO4" s="192">
        <f>BN4+1</f>
        <v/>
      </c>
      <c r="BP4" s="192">
        <f>BO4+1</f>
        <v/>
      </c>
      <c r="BQ4" s="192">
        <f>BP4+1</f>
        <v/>
      </c>
      <c r="BR4" s="192" t="n"/>
      <c r="BS4" s="192">
        <f>POISSON(BS3,$BR$2,FALSE)*100</f>
        <v/>
      </c>
      <c r="BT4" s="192">
        <f>POISSON(BT3,$BR$2,FALSE)*100</f>
        <v/>
      </c>
      <c r="BU4" s="192">
        <f>POISSON(BU3,$BR$2,FALSE)*100</f>
        <v/>
      </c>
      <c r="BV4" s="192">
        <f>POISSON(BV3,$BR$2,FALSE)*100</f>
        <v/>
      </c>
      <c r="BW4" s="192">
        <f>POISSON(BW3,$BR$2,FALSE)*100</f>
        <v/>
      </c>
      <c r="BX4" s="0">
        <f>BX3+1</f>
        <v/>
      </c>
      <c r="BY4" s="0">
        <f>SUM(BS2,BT2)</f>
        <v/>
      </c>
      <c r="BZ4" s="0">
        <f>BY5-BY4</f>
        <v/>
      </c>
      <c r="CA4" s="0">
        <f>BZ4-BZ5</f>
        <v/>
      </c>
      <c r="CB4" s="197">
        <f>Sheet1!R48</f>
        <v/>
      </c>
      <c r="CC4" s="194" t="n"/>
      <c r="CD4" s="198">
        <f>Sheet1!S48</f>
        <v/>
      </c>
      <c r="CE4" s="194" t="inlineStr">
        <is>
          <t xml:space="preserve">chances </t>
        </is>
      </c>
      <c r="CF4" s="199" t="n"/>
      <c r="CI4" s="195" t="inlineStr">
        <is>
          <t xml:space="preserve">no. of goals </t>
        </is>
      </c>
      <c r="CJ4" s="200">
        <f>CD4</f>
        <v/>
      </c>
      <c r="CK4" s="192" t="n">
        <v>0</v>
      </c>
      <c r="CL4" s="192">
        <f>CK4+1</f>
        <v/>
      </c>
      <c r="CM4" s="192">
        <f>CL4+1</f>
        <v/>
      </c>
      <c r="CN4" s="192">
        <f>CM4+1</f>
        <v/>
      </c>
      <c r="CO4" s="192">
        <f>CN4+1</f>
        <v/>
      </c>
      <c r="CP4" s="192">
        <f>CO4+1</f>
        <v/>
      </c>
      <c r="CQ4" s="192" t="n"/>
      <c r="CR4" s="192">
        <f>POISSON(CR3,$CQ$2,FALSE)*100</f>
        <v/>
      </c>
      <c r="CS4" s="192">
        <f>POISSON(CS3,$CQ$2,FALSE)*100</f>
        <v/>
      </c>
      <c r="CT4" s="192">
        <f>POISSON(CT3,$CQ$2,FALSE)*100</f>
        <v/>
      </c>
      <c r="CU4" s="192">
        <f>POISSON(CU3,$CQ$2,FALSE)*100</f>
        <v/>
      </c>
      <c r="CV4" s="192">
        <f>POISSON(CV3,$CQ$2,FALSE)*100</f>
        <v/>
      </c>
      <c r="CW4" s="0">
        <f>CW3+1</f>
        <v/>
      </c>
      <c r="CX4" s="0">
        <f>SUM(CR2,CS2)</f>
        <v/>
      </c>
      <c r="CY4" s="0">
        <f>CX5-CX4</f>
        <v/>
      </c>
      <c r="CZ4" s="0">
        <f>CY4-CY5</f>
        <v/>
      </c>
      <c r="DA4" s="197">
        <f>Sheet1!V48</f>
        <v/>
      </c>
      <c r="DB4" s="194" t="n"/>
      <c r="DC4" s="198">
        <f>Sheet1!W48</f>
        <v/>
      </c>
      <c r="DD4" s="194" t="inlineStr">
        <is>
          <t xml:space="preserve">chances </t>
        </is>
      </c>
      <c r="DE4" s="199" t="n"/>
      <c r="DH4" s="195" t="inlineStr">
        <is>
          <t xml:space="preserve">no. of goals </t>
        </is>
      </c>
      <c r="DI4" s="200">
        <f>DC4</f>
        <v/>
      </c>
      <c r="DJ4" s="192" t="n">
        <v>0</v>
      </c>
      <c r="DK4" s="192">
        <f>DJ4+1</f>
        <v/>
      </c>
      <c r="DL4" s="192">
        <f>DK4+1</f>
        <v/>
      </c>
      <c r="DM4" s="192">
        <f>DL4+1</f>
        <v/>
      </c>
      <c r="DN4" s="192">
        <f>DM4+1</f>
        <v/>
      </c>
      <c r="DO4" s="192">
        <f>DN4+1</f>
        <v/>
      </c>
      <c r="DP4" s="192" t="n"/>
      <c r="DQ4" s="192">
        <f>POISSON(DQ3,$DP$2,FALSE)*100</f>
        <v/>
      </c>
      <c r="DR4" s="192">
        <f>POISSON(DR3,$DP$2,FALSE)*100</f>
        <v/>
      </c>
      <c r="DS4" s="192">
        <f>POISSON(DS3,$DP$2,FALSE)*100</f>
        <v/>
      </c>
      <c r="DT4" s="192">
        <f>POISSON(DT3,$DP$2,FALSE)*100</f>
        <v/>
      </c>
      <c r="DU4" s="192">
        <f>POISSON(DU3,$DP$2,FALSE)*100</f>
        <v/>
      </c>
      <c r="DV4" s="0">
        <f>DV3+1</f>
        <v/>
      </c>
      <c r="DW4" s="0">
        <f>SUM(DQ2,DR2)</f>
        <v/>
      </c>
      <c r="DX4" s="0">
        <f>DW5-DW4</f>
        <v/>
      </c>
      <c r="DY4" s="0">
        <f>DX4-DX5</f>
        <v/>
      </c>
    </row>
    <row r="5" ht="15" customHeight="1" s="276">
      <c r="B5" s="0" t="n">
        <v>1</v>
      </c>
      <c r="C5" s="0">
        <f>Sheet1!F52</f>
        <v/>
      </c>
      <c r="D5" s="0">
        <f>Sheet1!G52</f>
        <v/>
      </c>
      <c r="E5" s="201" t="n">
        <v>0</v>
      </c>
      <c r="F5" s="202" t="inlineStr">
        <is>
          <t>:</t>
        </is>
      </c>
      <c r="G5" s="203" t="n">
        <v>0</v>
      </c>
      <c r="H5" s="192">
        <f>POISSON(E5,$C$5,FALSE)*POISSON(G5,$D$5,FALSE)*100</f>
        <v/>
      </c>
      <c r="I5" s="204">
        <f>RANK(H5,$H$5:$H$36,0)</f>
        <v/>
      </c>
      <c r="J5" s="0">
        <f>IF(J24="away",J19-(J23*3),IF(J24="home",J19-(J22*3),J19))</f>
        <v/>
      </c>
      <c r="L5" s="205">
        <f>E4</f>
        <v/>
      </c>
      <c r="M5" s="206" t="inlineStr">
        <is>
          <t xml:space="preserve">probablity </t>
        </is>
      </c>
      <c r="N5" s="206">
        <f>POISSON(N4,$D$5,FALSE)</f>
        <v/>
      </c>
      <c r="O5" s="206">
        <f>POISSON(O4,$D$5,FALSE)</f>
        <v/>
      </c>
      <c r="P5" s="206">
        <f>POISSON(P4,$D$5,FALSE)</f>
        <v/>
      </c>
      <c r="Q5" s="206">
        <f>POISSON(Q4,$D$5,FALSE)</f>
        <v/>
      </c>
      <c r="R5" s="206">
        <f>POISSON(R4,$D$5,FALSE)</f>
        <v/>
      </c>
      <c r="S5" s="206">
        <f>POISSON(S4,$D$5,FALSE)</f>
        <v/>
      </c>
      <c r="T5" s="192" t="n"/>
      <c r="U5" s="192" t="n"/>
      <c r="V5" s="192" t="n"/>
      <c r="W5" s="192" t="inlineStr">
        <is>
          <t>under</t>
        </is>
      </c>
      <c r="X5" s="192" t="inlineStr">
        <is>
          <t>over</t>
        </is>
      </c>
      <c r="Y5" s="204" t="n"/>
      <c r="Z5" s="0">
        <f>Z4+1</f>
        <v/>
      </c>
      <c r="AA5" s="0">
        <f>SUM(U2,V2,W2)</f>
        <v/>
      </c>
      <c r="AB5" s="0">
        <f>AA6-AA5</f>
        <v/>
      </c>
      <c r="AC5" s="196" t="n">
        <v>7.476119976340589</v>
      </c>
      <c r="AD5" s="201" t="n">
        <v>0</v>
      </c>
      <c r="AE5" s="202">
        <f>AD5+AF5</f>
        <v/>
      </c>
      <c r="AF5" s="203" t="n">
        <v>0</v>
      </c>
      <c r="AG5" s="192">
        <f>POISSON(AD5,$C$6,FALSE)*POISSON(AF5,$D$6,FALSE)*100</f>
        <v/>
      </c>
      <c r="AH5" s="204">
        <f>RANK(AG5,$AG$5:$AG$36,0)</f>
        <v/>
      </c>
      <c r="AI5" s="0">
        <f>IF(AI24="away",AI19-(AI23*3),IF(AI24="home",AI19-(AI22*3),AI19))</f>
        <v/>
      </c>
      <c r="AK5" s="205">
        <f>AD4</f>
        <v/>
      </c>
      <c r="AL5" s="206" t="inlineStr">
        <is>
          <t xml:space="preserve">probablity </t>
        </is>
      </c>
      <c r="AM5" s="206">
        <f>POISSON(AM4,$D$6,FALSE)</f>
        <v/>
      </c>
      <c r="AN5" s="206">
        <f>POISSON(AN4,$D$6,FALSE)</f>
        <v/>
      </c>
      <c r="AO5" s="206">
        <f>POISSON(AO4,$D$6,FALSE)</f>
        <v/>
      </c>
      <c r="AP5" s="206">
        <f>POISSON(AP4,$D$6,FALSE)</f>
        <v/>
      </c>
      <c r="AQ5" s="206">
        <f>POISSON(AQ4,$D$6,FALSE)</f>
        <v/>
      </c>
      <c r="AR5" s="206">
        <f>POISSON(AR4,$D$6,FALSE)</f>
        <v/>
      </c>
      <c r="AS5" s="192" t="n"/>
      <c r="AT5" s="192" t="n"/>
      <c r="AU5" s="192" t="n"/>
      <c r="AV5" s="192" t="inlineStr">
        <is>
          <t>under</t>
        </is>
      </c>
      <c r="AW5" s="192" t="inlineStr">
        <is>
          <t>over</t>
        </is>
      </c>
      <c r="AX5" s="204" t="n"/>
      <c r="AY5" s="0">
        <f>AY4+1</f>
        <v/>
      </c>
      <c r="AZ5" s="0">
        <f>SUM(AT2,AU2,AV2)</f>
        <v/>
      </c>
      <c r="BA5" s="0">
        <f>AZ6-AZ5</f>
        <v/>
      </c>
      <c r="BB5" s="196" t="n">
        <v>7.476119976340589</v>
      </c>
      <c r="BC5" s="201" t="n">
        <v>0</v>
      </c>
      <c r="BD5" s="202" t="inlineStr">
        <is>
          <t>:</t>
        </is>
      </c>
      <c r="BE5" s="203" t="n">
        <v>0</v>
      </c>
      <c r="BF5" s="192">
        <f>POISSON(BC5,$C$7,FALSE)*POISSON(BE5,$D$7,FALSE)*100</f>
        <v/>
      </c>
      <c r="BG5" s="204">
        <f>RANK(BF5,$BF$5:$BF$36,0)</f>
        <v/>
      </c>
      <c r="BH5" s="0">
        <f>IF(BH24="away",BH19-(BH23*3),IF(BH24="home",BH19-(BH22*3),BH19))</f>
        <v/>
      </c>
      <c r="BJ5" s="205">
        <f>BC4</f>
        <v/>
      </c>
      <c r="BK5" s="206" t="inlineStr">
        <is>
          <t xml:space="preserve">probablity </t>
        </is>
      </c>
      <c r="BL5" s="206">
        <f>POISSON(BL4,$D$7,FALSE)</f>
        <v/>
      </c>
      <c r="BM5" s="206">
        <f>POISSON(BM4,$D$7,FALSE)</f>
        <v/>
      </c>
      <c r="BN5" s="206">
        <f>POISSON(BN4,$D$7,FALSE)</f>
        <v/>
      </c>
      <c r="BO5" s="206">
        <f>POISSON(BO4,$D$7,FALSE)</f>
        <v/>
      </c>
      <c r="BP5" s="206">
        <f>POISSON(BP4,$D$7,FALSE)</f>
        <v/>
      </c>
      <c r="BQ5" s="206">
        <f>POISSON(BQ4,$D$7,FALSE)</f>
        <v/>
      </c>
      <c r="BR5" s="192" t="n"/>
      <c r="BS5" s="192" t="n"/>
      <c r="BT5" s="192" t="n"/>
      <c r="BU5" s="192" t="inlineStr">
        <is>
          <t>under</t>
        </is>
      </c>
      <c r="BV5" s="192" t="inlineStr">
        <is>
          <t>over</t>
        </is>
      </c>
      <c r="BW5" s="204" t="n"/>
      <c r="BX5" s="0">
        <f>BX4+1</f>
        <v/>
      </c>
      <c r="BY5" s="0">
        <f>SUM(BS2,BT2,BU2)</f>
        <v/>
      </c>
      <c r="BZ5" s="0">
        <f>BY6-BY5</f>
        <v/>
      </c>
      <c r="CA5" s="0">
        <f>BZ5-BZ6</f>
        <v/>
      </c>
      <c r="CB5" s="201" t="n">
        <v>0</v>
      </c>
      <c r="CC5" s="202" t="inlineStr">
        <is>
          <t>:</t>
        </is>
      </c>
      <c r="CD5" s="203" t="n">
        <v>0</v>
      </c>
      <c r="CE5" s="192">
        <f>POISSON(CB5,$C$8,FALSE)*POISSON(CD5,$D$8,FALSE)*100</f>
        <v/>
      </c>
      <c r="CF5" s="204">
        <f>RANK(CE5,$CE$5:$CE$36,0)</f>
        <v/>
      </c>
      <c r="CG5" s="0">
        <f>IF(CG24="away",CG19-(CG23*3),IF(CG24="home",CG19-(CG22*3),CG19))</f>
        <v/>
      </c>
      <c r="CI5" s="205">
        <f>CB4</f>
        <v/>
      </c>
      <c r="CJ5" s="206" t="inlineStr">
        <is>
          <t xml:space="preserve">probablity </t>
        </is>
      </c>
      <c r="CK5" s="206">
        <f>POISSON(CK4,$D$8,FALSE)</f>
        <v/>
      </c>
      <c r="CL5" s="206">
        <f>POISSON(CL4,$D$8,FALSE)</f>
        <v/>
      </c>
      <c r="CM5" s="206">
        <f>POISSON(CM4,$D$8,FALSE)</f>
        <v/>
      </c>
      <c r="CN5" s="206">
        <f>POISSON(CN4,$D$8,FALSE)</f>
        <v/>
      </c>
      <c r="CO5" s="206">
        <f>POISSON(CO4,$D$8,FALSE)</f>
        <v/>
      </c>
      <c r="CP5" s="206">
        <f>POISSON(CP4,$D$8,FALSE)</f>
        <v/>
      </c>
      <c r="CQ5" s="192" t="n"/>
      <c r="CR5" s="192" t="n"/>
      <c r="CS5" s="192" t="n"/>
      <c r="CT5" s="192" t="inlineStr">
        <is>
          <t>under</t>
        </is>
      </c>
      <c r="CU5" s="192" t="inlineStr">
        <is>
          <t>over</t>
        </is>
      </c>
      <c r="CV5" s="204" t="n"/>
      <c r="CW5" s="0">
        <f>CW4+1</f>
        <v/>
      </c>
      <c r="CX5" s="0">
        <f>SUM(CR2,CS2,CT2)</f>
        <v/>
      </c>
      <c r="CY5" s="0">
        <f>CX6-CX5</f>
        <v/>
      </c>
      <c r="CZ5" s="0">
        <f>CY5-CY6</f>
        <v/>
      </c>
      <c r="DA5" s="201" t="n">
        <v>0</v>
      </c>
      <c r="DB5" s="202" t="inlineStr">
        <is>
          <t>:</t>
        </is>
      </c>
      <c r="DC5" s="203" t="n">
        <v>0</v>
      </c>
      <c r="DD5" s="192">
        <f>POISSON(DA5,$C$9,FALSE)*POISSON(DC5,$D$9,FALSE)*100</f>
        <v/>
      </c>
      <c r="DE5" s="204">
        <f>RANK(DD5,$DD$5:$DD$36,0)</f>
        <v/>
      </c>
      <c r="DF5" s="0">
        <f>IF(DF24="away",DF19-(DF23*3),IF(DF24="home",DF19-(DF22*3),DF19))</f>
        <v/>
      </c>
      <c r="DH5" s="205">
        <f>DA4</f>
        <v/>
      </c>
      <c r="DI5" s="206" t="inlineStr">
        <is>
          <t xml:space="preserve">probablity </t>
        </is>
      </c>
      <c r="DJ5" s="206">
        <f>POISSON(DJ4,$D$9,FALSE)</f>
        <v/>
      </c>
      <c r="DK5" s="206">
        <f>POISSON(DK4,$D$9,FALSE)</f>
        <v/>
      </c>
      <c r="DL5" s="206">
        <f>POISSON(DL4,$D$9,FALSE)</f>
        <v/>
      </c>
      <c r="DM5" s="206">
        <f>POISSON(DM4,$D$9,FALSE)</f>
        <v/>
      </c>
      <c r="DN5" s="206">
        <f>POISSON(DN4,$D$9,FALSE)</f>
        <v/>
      </c>
      <c r="DO5" s="206">
        <f>POISSON(DO4,$D$9,FALSE)</f>
        <v/>
      </c>
      <c r="DP5" s="192" t="n"/>
      <c r="DQ5" s="192" t="n"/>
      <c r="DR5" s="192" t="n"/>
      <c r="DS5" s="192" t="inlineStr">
        <is>
          <t>under</t>
        </is>
      </c>
      <c r="DT5" s="192" t="inlineStr">
        <is>
          <t>over</t>
        </is>
      </c>
      <c r="DU5" s="204" t="n"/>
      <c r="DV5" s="0">
        <f>DV4+1</f>
        <v/>
      </c>
      <c r="DW5" s="0">
        <f>SUM(DQ2,DR2,DS2)</f>
        <v/>
      </c>
      <c r="DX5" s="0">
        <f>DW6-DW5</f>
        <v/>
      </c>
      <c r="DY5" s="0">
        <f>DX5-DX6</f>
        <v/>
      </c>
    </row>
    <row r="6" ht="15" customHeight="1" s="276">
      <c r="B6" s="0">
        <f>B5+1</f>
        <v/>
      </c>
      <c r="C6" s="0">
        <f>Sheet1!J52</f>
        <v/>
      </c>
      <c r="D6" s="0">
        <f>Sheet1!K52</f>
        <v/>
      </c>
      <c r="E6" s="201" t="n">
        <v>0</v>
      </c>
      <c r="F6" s="202" t="inlineStr">
        <is>
          <t>:</t>
        </is>
      </c>
      <c r="G6" s="203" t="n">
        <v>1</v>
      </c>
      <c r="H6" s="192">
        <f>POISSON(E6,$C$5,FALSE)*POISSON(G6,$D$5,FALSE)*100</f>
        <v/>
      </c>
      <c r="I6" s="204">
        <f>RANK(H6,$H$5:$H$36,0)</f>
        <v/>
      </c>
      <c r="J6" s="0">
        <f>IF(I5=1,"draw",IF(I6=1,"away",IF(I7=1,"draw 1-1",IF(I8=1,"home",IF(I9=1,"away 0-2",IF(I10=1,"away 1-2",IF(I11=1,"home 2-1","rountime")))))))</f>
        <v/>
      </c>
      <c r="K6" s="0">
        <f>IF(OR(J6="away",J6="home",J6="draw"),"small",IF(OR(J6="away",J6="home",J6="draw",J6="draw 1-1",J6="away 0-2"),"under",IF(J6="rountime","RT",0)))</f>
        <v/>
      </c>
      <c r="L6" s="195" t="n">
        <v>0</v>
      </c>
      <c r="M6" s="206">
        <f>POISSON(L6,$C$5,FALSE)</f>
        <v/>
      </c>
      <c r="N6" s="207">
        <f>$N$5*M6</f>
        <v/>
      </c>
      <c r="O6" s="192">
        <f>$O$5*M6</f>
        <v/>
      </c>
      <c r="P6" s="192">
        <f>$P$5*M6</f>
        <v/>
      </c>
      <c r="Q6" s="192">
        <f>$Q$5*M6</f>
        <v/>
      </c>
      <c r="R6" s="192">
        <f>$R$5*M6</f>
        <v/>
      </c>
      <c r="S6" s="192">
        <f>$S$5*M6</f>
        <v/>
      </c>
      <c r="T6" s="192">
        <f>SUM(R6:S9,S10,Q6,Q7,Q8,P7,P6,O6)*100</f>
        <v/>
      </c>
      <c r="U6" s="192" t="n"/>
      <c r="V6" s="206" t="n">
        <v>0.5</v>
      </c>
      <c r="W6" s="192">
        <f>N6</f>
        <v/>
      </c>
      <c r="X6" s="192">
        <f>(Y6-W6)</f>
        <v/>
      </c>
      <c r="Y6" s="204">
        <f>SUM(N6:S11)</f>
        <v/>
      </c>
      <c r="Z6" s="0">
        <f>Z5+1</f>
        <v/>
      </c>
      <c r="AA6" s="0">
        <f>SUM(U2,V2,W2,X2)</f>
        <v/>
      </c>
      <c r="AB6" s="0">
        <f>AA7-AA6</f>
        <v/>
      </c>
      <c r="AC6" s="0">
        <f>IF(AND(AC4&gt;AC3,AC5),2.5,IF(AND(AC3&gt;AC4,AC5),1.5,IF(AND(AC5&gt;AC3,AC4),3.5)))</f>
        <v/>
      </c>
      <c r="AD6" s="201" t="n">
        <v>0</v>
      </c>
      <c r="AE6" s="202">
        <f>AD6+AF6</f>
        <v/>
      </c>
      <c r="AF6" s="203" t="n">
        <v>1</v>
      </c>
      <c r="AG6" s="192">
        <f>POISSON(AD6,$C$6,FALSE)*POISSON(AF6,$D$6,FALSE)*100</f>
        <v/>
      </c>
      <c r="AH6" s="204">
        <f>RANK(AG6,$AG$5:$AG$36,0)</f>
        <v/>
      </c>
      <c r="AI6" s="0">
        <f>IF(AH5=1,"draw",IF(AH6=1,"away",IF(AH7=1,"draw 1-1",IF(AH8=1,"home",IF(AH9=1,"away 0-2",IF(AH10=1,"away 1-2",IF(AH11=1,"home 2-1","rountime")))))))</f>
        <v/>
      </c>
      <c r="AJ6" s="0">
        <f>IF(OR(AI6="away",AI6="home",AI6="draw"),"small",IF(OR(AI6="away",AI6="home",AI6="draw",AI6="draw 1-1",AI6="away 0-2"),"under",IF(AI6="rountime","RT",0)))</f>
        <v/>
      </c>
      <c r="AK6" s="195" t="n">
        <v>0</v>
      </c>
      <c r="AL6" s="206">
        <f>POISSON(AK6,$C$6,FALSE)</f>
        <v/>
      </c>
      <c r="AM6" s="207">
        <f>$AM$5*AL6</f>
        <v/>
      </c>
      <c r="AN6" s="192">
        <f>$AN$5*AL6</f>
        <v/>
      </c>
      <c r="AO6" s="192">
        <f>$AO$5*AL6</f>
        <v/>
      </c>
      <c r="AP6" s="192">
        <f>$AP$5*AL6</f>
        <v/>
      </c>
      <c r="AQ6" s="192">
        <f>$AQ$5*AL6</f>
        <v/>
      </c>
      <c r="AR6" s="192">
        <f>$AR$5*AL6</f>
        <v/>
      </c>
      <c r="AS6" s="192">
        <f>SUM(AQ6:AR9,AR10,AP6,AP7,AP8,AO7,AO6,AN6)*100</f>
        <v/>
      </c>
      <c r="AT6" s="192" t="n"/>
      <c r="AU6" s="206" t="n">
        <v>0.5</v>
      </c>
      <c r="AV6" s="192">
        <f>AM6</f>
        <v/>
      </c>
      <c r="AW6" s="192">
        <f>(AX6-AV6)</f>
        <v/>
      </c>
      <c r="AX6" s="204">
        <f>SUM(AM6:AR11)</f>
        <v/>
      </c>
      <c r="AY6" s="0">
        <f>AY5+1</f>
        <v/>
      </c>
      <c r="AZ6" s="0">
        <f>SUM(AT2,AU2,AV2,AW2)</f>
        <v/>
      </c>
      <c r="BA6" s="0">
        <f>AZ7-AZ6</f>
        <v/>
      </c>
      <c r="BB6" s="0">
        <f>IF(AND(BB4&gt;BB3,BB5),2.5,IF(AND(BB3&gt;BB4,BB5),1.5,IF(AND(BB5&gt;BB3,BB4),3.5)))</f>
        <v/>
      </c>
      <c r="BC6" s="201" t="n">
        <v>0</v>
      </c>
      <c r="BD6" s="202" t="inlineStr">
        <is>
          <t>:</t>
        </is>
      </c>
      <c r="BE6" s="203" t="n">
        <v>1</v>
      </c>
      <c r="BF6" s="192">
        <f>POISSON(BC6,$C$7,FALSE)*POISSON(BE6,$D$7,FALSE)*100</f>
        <v/>
      </c>
      <c r="BG6" s="204">
        <f>RANK(BF6,$BF$5:$BF$36,0)</f>
        <v/>
      </c>
      <c r="BH6" s="0">
        <f>IF(BG5=1,"draw",IF(BG6=1,"away",IF(BG7=1,"draw 1-1",IF(BG8=1,"home",IF(BG9=1,"away 0-2",IF(BG10=1,"away 1-2",IF(BG11=1,"home 2-1","rountime")))))))</f>
        <v/>
      </c>
      <c r="BI6" s="0">
        <f>IF(OR(BH6="away",BH6="home",BH6="draw"),"small",IF(OR(BH6="away",BH6="home",BH6="draw",BH6="draw 1-1",BH6="away 0-2"),"under",IF(BH6="rountime","RT",0)))</f>
        <v/>
      </c>
      <c r="BJ6" s="195" t="n">
        <v>0</v>
      </c>
      <c r="BK6" s="206">
        <f>POISSON(BJ6,$C$7,FALSE)</f>
        <v/>
      </c>
      <c r="BL6" s="207">
        <f>$BL$5*BK6</f>
        <v/>
      </c>
      <c r="BM6" s="192">
        <f>$BM$5*BK6</f>
        <v/>
      </c>
      <c r="BN6" s="192">
        <f>$BN$5*BK6</f>
        <v/>
      </c>
      <c r="BO6" s="192">
        <f>$BO$5*BK6</f>
        <v/>
      </c>
      <c r="BP6" s="192">
        <f>$BP$5*BK6</f>
        <v/>
      </c>
      <c r="BQ6" s="192">
        <f>$BQ$5*BK6</f>
        <v/>
      </c>
      <c r="BR6" s="192">
        <f>SUM(BP6:BQ9,BQ10,BO6,BO7,BO8,BN7,BN6,BM6)*100</f>
        <v/>
      </c>
      <c r="BS6" s="192" t="n"/>
      <c r="BT6" s="206" t="n">
        <v>0.5</v>
      </c>
      <c r="BU6" s="192">
        <f>BL6</f>
        <v/>
      </c>
      <c r="BV6" s="192">
        <f>(BW6-BU6)</f>
        <v/>
      </c>
      <c r="BW6" s="204">
        <f>SUM(BL6:BQ11)</f>
        <v/>
      </c>
      <c r="BX6" s="0">
        <f>BX5+1</f>
        <v/>
      </c>
      <c r="BY6" s="0">
        <f>SUM(BS2,BT2,BU2,BV2)</f>
        <v/>
      </c>
      <c r="BZ6" s="0">
        <f>BY7-BY6</f>
        <v/>
      </c>
      <c r="CA6" s="0">
        <f>IF(AND(CA4&gt;CA3,CA5),2.5,IF(AND(CA3&gt;CA4,CA5),1.5,IF(AND(CA5&gt;CA3,CA4),3.5)))</f>
        <v/>
      </c>
      <c r="CB6" s="201" t="n">
        <v>0</v>
      </c>
      <c r="CC6" s="202" t="inlineStr">
        <is>
          <t>:</t>
        </is>
      </c>
      <c r="CD6" s="203" t="n">
        <v>1</v>
      </c>
      <c r="CE6" s="192">
        <f>POISSON(CB6,$C$8,FALSE)*POISSON(CD6,$D$8,FALSE)*100</f>
        <v/>
      </c>
      <c r="CF6" s="204">
        <f>RANK(CE6,$CE$5:$CE$36,0)</f>
        <v/>
      </c>
      <c r="CG6" s="0">
        <f>IF(CF5=1,"draw",IF(CF6=1,"away",IF(CF7=1,"draw 1-1",IF(CF8=1,"home",IF(CF9=1,"away 0-2",IF(CF10=1,"away 1-2",IF(CF11=1,"home 2-1","rountime")))))))</f>
        <v/>
      </c>
      <c r="CH6" s="0">
        <f>IF(OR(CG6="away",CG6="home",CG6="draw"),"small",IF(OR(CG6="away",CG6="home",CG6="draw",CG6="draw 1-1",CG6="away 0-2"),"under",IF(CG6="rountime","RT",0)))</f>
        <v/>
      </c>
      <c r="CI6" s="195" t="n">
        <v>0</v>
      </c>
      <c r="CJ6" s="206">
        <f>POISSON(CI6,$C$8,FALSE)</f>
        <v/>
      </c>
      <c r="CK6" s="207">
        <f>$CK$5*CJ6</f>
        <v/>
      </c>
      <c r="CL6" s="192">
        <f>$CL$5*CJ6</f>
        <v/>
      </c>
      <c r="CM6" s="192">
        <f>$CM$5*CJ6</f>
        <v/>
      </c>
      <c r="CN6" s="192">
        <f>$CN$5*CJ6</f>
        <v/>
      </c>
      <c r="CO6" s="192">
        <f>$CO$5*CJ6</f>
        <v/>
      </c>
      <c r="CP6" s="192">
        <f>$CP$5*CJ6</f>
        <v/>
      </c>
      <c r="CQ6" s="192">
        <f>SUM(CO6:CP9,CP10,CN6,CN7,CN8,CM7,CM6,CL6)*100</f>
        <v/>
      </c>
      <c r="CR6" s="192" t="n"/>
      <c r="CS6" s="206" t="n">
        <v>0.5</v>
      </c>
      <c r="CT6" s="192">
        <f>CK6</f>
        <v/>
      </c>
      <c r="CU6" s="192">
        <f>(CV6-CT6)</f>
        <v/>
      </c>
      <c r="CV6" s="204">
        <f>SUM(CK6:CP11)</f>
        <v/>
      </c>
      <c r="CW6" s="0">
        <f>CW5+1</f>
        <v/>
      </c>
      <c r="CX6" s="0">
        <f>SUM(CR2,CS2,CT2,CU2)</f>
        <v/>
      </c>
      <c r="CY6" s="0">
        <f>CX7-CX6</f>
        <v/>
      </c>
      <c r="CZ6" s="0">
        <f>IF(AND(CZ4&gt;CZ3,CZ5),2.5,IF(AND(CZ3&gt;CZ4,CZ5),1.5,IF(AND(CZ5&gt;CZ3,CZ4),3.5)))</f>
        <v/>
      </c>
      <c r="DA6" s="201" t="n">
        <v>0</v>
      </c>
      <c r="DB6" s="202" t="inlineStr">
        <is>
          <t>:</t>
        </is>
      </c>
      <c r="DC6" s="203" t="n">
        <v>1</v>
      </c>
      <c r="DD6" s="192">
        <f>POISSON(DA6,$C$9,FALSE)*POISSON(DC6,$D$9,FALSE)*100</f>
        <v/>
      </c>
      <c r="DE6" s="204">
        <f>RANK(DD6,$DD$5:$DD$36,0)</f>
        <v/>
      </c>
      <c r="DF6" s="0">
        <f>IF(DE5=1,"draw",IF(DE6=1,"away",IF(DE7=1,"draw 1-1",IF(DE8=1,"home",IF(DE9=1,"away 0-2",IF(DE10=1,"away 1-2",IF(DE11=1,"home 2-1","rountime")))))))</f>
        <v/>
      </c>
      <c r="DG6" s="0">
        <f>IF(OR(DF6="away",DF6="home",DF6="draw"),"small",IF(OR(DF6="away",DF6="home",DF6="draw",DF6="draw 1-1",DF6="away 0-2"),"under",IF(DF6="rountime","RT",0)))</f>
        <v/>
      </c>
      <c r="DH6" s="195" t="n">
        <v>0</v>
      </c>
      <c r="DI6" s="206">
        <f>POISSON(DH6,$C$9,FALSE)</f>
        <v/>
      </c>
      <c r="DJ6" s="207">
        <f>$DJ$5*DI6</f>
        <v/>
      </c>
      <c r="DK6" s="192">
        <f>$DK$5*DI6</f>
        <v/>
      </c>
      <c r="DL6" s="192">
        <f>$DL$5*DI6</f>
        <v/>
      </c>
      <c r="DM6" s="192">
        <f>$DM$5*DI6</f>
        <v/>
      </c>
      <c r="DN6" s="192">
        <f>$DN$5*DI6</f>
        <v/>
      </c>
      <c r="DO6" s="192">
        <f>$DO$5*DI6</f>
        <v/>
      </c>
      <c r="DP6" s="192">
        <f>SUM(DN6:DO9,DO10,DM6,DM7,DM8,DL7,DL6,DK6)*100</f>
        <v/>
      </c>
      <c r="DQ6" s="192" t="n"/>
      <c r="DR6" s="206" t="n">
        <v>0.5</v>
      </c>
      <c r="DS6" s="192">
        <f>DJ6</f>
        <v/>
      </c>
      <c r="DT6" s="192">
        <f>(DU6-DS6)</f>
        <v/>
      </c>
      <c r="DU6" s="204">
        <f>SUM(DJ6:DO11)</f>
        <v/>
      </c>
      <c r="DV6" s="0">
        <f>DV5+1</f>
        <v/>
      </c>
      <c r="DW6" s="0">
        <f>SUM(DQ2,DR2,DS2,DT2)</f>
        <v/>
      </c>
      <c r="DX6" s="0">
        <f>DW7-DW6</f>
        <v/>
      </c>
      <c r="DY6" s="0">
        <f>IF(AND(DY4&gt;DY3,DY5),2.5,IF(AND(DY3&gt;DY4,DY5),1.5,IF(AND(DY5&gt;DY3,DY4),3.5)))</f>
        <v/>
      </c>
    </row>
    <row r="7" ht="15" customHeight="1" s="276">
      <c r="B7" s="0">
        <f>B6+1</f>
        <v/>
      </c>
      <c r="C7" s="0">
        <f>Sheet1!N52</f>
        <v/>
      </c>
      <c r="D7" s="0">
        <f>Sheet1!O52</f>
        <v/>
      </c>
      <c r="E7" s="201" t="n">
        <v>1</v>
      </c>
      <c r="F7" s="202" t="inlineStr">
        <is>
          <t>:</t>
        </is>
      </c>
      <c r="G7" s="203" t="n">
        <v>1</v>
      </c>
      <c r="H7" s="192">
        <f>POISSON(E7,$C$5,FALSE)*POISSON(G7,$D$5,FALSE)*100</f>
        <v/>
      </c>
      <c r="I7" s="204">
        <f>RANK(H7,$H$5:$H$36,0)</f>
        <v/>
      </c>
      <c r="J7" s="0">
        <f>IF(I5=2,"draw",IF(I6=2,"away",IF(I7=2,"draw 1-1",IF(I8=2,"home",IF(I9=2,"away 0-2",IF(I10=2,"away 1-2",IF(I11=2,"home 2-1","rountime")))))))</f>
        <v/>
      </c>
      <c r="K7" s="0">
        <f>IF(OR(J7="away",J7="home",J7="draw"),"small",IF(OR(J7="away",J7="home",J7="draw",J7="draw 1-1",J7="away 0-2"),"under",IF(J7="rountime","RT",0)))</f>
        <v/>
      </c>
      <c r="L7" s="195">
        <f>L6+1</f>
        <v/>
      </c>
      <c r="M7" s="206">
        <f>POISSON(L7,$C$5,FALSE)</f>
        <v/>
      </c>
      <c r="N7" s="192">
        <f>$N$5*M7</f>
        <v/>
      </c>
      <c r="O7" s="207">
        <f>$O$5*M7</f>
        <v/>
      </c>
      <c r="P7" s="192">
        <f>$P$5*M7</f>
        <v/>
      </c>
      <c r="Q7" s="192">
        <f>$Q$5*M7</f>
        <v/>
      </c>
      <c r="R7" s="192">
        <f>$R$5*M7</f>
        <v/>
      </c>
      <c r="S7" s="192">
        <f>$S$5*M7</f>
        <v/>
      </c>
      <c r="T7" s="192" t="n"/>
      <c r="U7" s="192" t="n"/>
      <c r="V7" s="206">
        <f>V6+1</f>
        <v/>
      </c>
      <c r="W7" s="192">
        <f>SUM(N6,O6,N7)</f>
        <v/>
      </c>
      <c r="X7" s="192">
        <f>(Y6-W7)</f>
        <v/>
      </c>
      <c r="Y7" s="204" t="n"/>
      <c r="Z7" s="0">
        <f>Z6+1</f>
        <v/>
      </c>
      <c r="AA7" s="0">
        <f>SUM(U2,V2,W2,X2,Y2)</f>
        <v/>
      </c>
      <c r="AC7" s="208">
        <f>IF(AC6=AC44,AC6+1,AC6+AC44+0.5)</f>
        <v/>
      </c>
      <c r="AD7" s="201" t="n">
        <v>1</v>
      </c>
      <c r="AE7" s="202">
        <f>AD7+AF7</f>
        <v/>
      </c>
      <c r="AF7" s="203" t="n">
        <v>1</v>
      </c>
      <c r="AG7" s="192">
        <f>POISSON(AD7,$C$6,FALSE)*POISSON(AF7,$D$6,FALSE)*100</f>
        <v/>
      </c>
      <c r="AH7" s="204">
        <f>RANK(AG7,$AG$5:$AG$36,0)</f>
        <v/>
      </c>
      <c r="AI7" s="0">
        <f>IF(AH5=2,"draw",IF(AH6=2,"away",IF(AH7=2,"draw 1-1",IF(AH8=2,"home",IF(AH9=2,"away 0-2",IF(AH10=2,"away 1-2",IF(AH11=2,"home 2-1","rountime")))))))</f>
        <v/>
      </c>
      <c r="AJ7" s="0">
        <f>IF(OR(AI7="away",AI7="home",AI7="draw"),"small",IF(OR(AI7="away",AI7="home",AI7="draw",AI7="draw 1-1",AI7="away 0-2"),"under",IF(AI7="rountime","RT",0)))</f>
        <v/>
      </c>
      <c r="AK7" s="195">
        <f>AK6+1</f>
        <v/>
      </c>
      <c r="AL7" s="206">
        <f>POISSON(AK7,$C$6,FALSE)</f>
        <v/>
      </c>
      <c r="AM7" s="207">
        <f>$AM$5*AL7</f>
        <v/>
      </c>
      <c r="AN7" s="192">
        <f>$AN$5*AL7</f>
        <v/>
      </c>
      <c r="AO7" s="192">
        <f>$AO$5*AL7</f>
        <v/>
      </c>
      <c r="AP7" s="192">
        <f>$AP$5*AL7</f>
        <v/>
      </c>
      <c r="AQ7" s="192">
        <f>$AQ$5*AL7</f>
        <v/>
      </c>
      <c r="AR7" s="192">
        <f>$AR$5*AL7</f>
        <v/>
      </c>
      <c r="AS7" s="192" t="n"/>
      <c r="AT7" s="192" t="n"/>
      <c r="AU7" s="206">
        <f>AU6+1</f>
        <v/>
      </c>
      <c r="AV7" s="192">
        <f>SUM(AM6,AN6,AM7)</f>
        <v/>
      </c>
      <c r="AW7" s="192">
        <f>(AX6-AV7)</f>
        <v/>
      </c>
      <c r="AX7" s="204" t="n"/>
      <c r="AY7" s="0">
        <f>AY6+1</f>
        <v/>
      </c>
      <c r="AZ7" s="0">
        <f>SUM(AT2,AU2,AV2,AW2,AX2)</f>
        <v/>
      </c>
      <c r="BB7" s="208">
        <f>IF(BB6=BB44,BB6+1,BB6+BB44+0.5)</f>
        <v/>
      </c>
      <c r="BC7" s="201" t="n">
        <v>1</v>
      </c>
      <c r="BD7" s="202" t="inlineStr">
        <is>
          <t>:</t>
        </is>
      </c>
      <c r="BE7" s="203" t="n">
        <v>1</v>
      </c>
      <c r="BF7" s="192">
        <f>POISSON(BC7,$C$7,FALSE)*POISSON(BE7,$D$7,FALSE)*100</f>
        <v/>
      </c>
      <c r="BG7" s="204">
        <f>RANK(BF7,$BF$5:$BF$36,0)</f>
        <v/>
      </c>
      <c r="BH7" s="0">
        <f>IF(BG5=2,"draw",IF(BG6=2,"away",IF(BG7=2,"draw 1-1",IF(BG8=2,"home",IF(BG9=2,"away 0-2",IF(BG10=2,"away 1-2",IF(BG11=2,"home 2-1","rountime")))))))</f>
        <v/>
      </c>
      <c r="BI7" s="0">
        <f>IF(OR(BH7="away",BH7="home",BH7="draw"),"small",IF(OR(BH7="away",BH7="home",BH7="draw",BH7="draw 1-1",BH7="away 0-2"),"under",IF(BH7="rountime","RT",0)))</f>
        <v/>
      </c>
      <c r="BJ7" s="195">
        <f>BJ6+1</f>
        <v/>
      </c>
      <c r="BK7" s="206">
        <f>POISSON(BJ7,$C$7,FALSE)</f>
        <v/>
      </c>
      <c r="BL7" s="207">
        <f>$BL$5*BK7</f>
        <v/>
      </c>
      <c r="BM7" s="192">
        <f>$BM$5*BK7</f>
        <v/>
      </c>
      <c r="BN7" s="192">
        <f>$BN$5*BK7</f>
        <v/>
      </c>
      <c r="BO7" s="192">
        <f>$BO$5*BK7</f>
        <v/>
      </c>
      <c r="BP7" s="192">
        <f>$BP$5*BK7</f>
        <v/>
      </c>
      <c r="BQ7" s="192">
        <f>$BQ$5*BK7</f>
        <v/>
      </c>
      <c r="BR7" s="192" t="n"/>
      <c r="BS7" s="192" t="n"/>
      <c r="BT7" s="206">
        <f>BT6+1</f>
        <v/>
      </c>
      <c r="BU7" s="192">
        <f>SUM(BL6,BM6,BL7)</f>
        <v/>
      </c>
      <c r="BV7" s="192">
        <f>(BW6-BU7)</f>
        <v/>
      </c>
      <c r="BW7" s="204" t="n"/>
      <c r="BX7" s="0">
        <f>BX6+1</f>
        <v/>
      </c>
      <c r="BY7" s="0">
        <f>SUM(BS2,BT2,BU2,BV2,BW2)</f>
        <v/>
      </c>
      <c r="CA7" s="208">
        <f>IF(CA6=CA44,CA6+1,CA6+CA44+0.5)</f>
        <v/>
      </c>
      <c r="CB7" s="201" t="n">
        <v>1</v>
      </c>
      <c r="CC7" s="202" t="inlineStr">
        <is>
          <t>:</t>
        </is>
      </c>
      <c r="CD7" s="203" t="n">
        <v>1</v>
      </c>
      <c r="CE7" s="192">
        <f>POISSON(CB7,$C$8,FALSE)*POISSON(CD7,$D$8,FALSE)*100</f>
        <v/>
      </c>
      <c r="CF7" s="204">
        <f>RANK(CE7,$CE$5:$CE$36,0)</f>
        <v/>
      </c>
      <c r="CG7" s="0">
        <f>IF(CF5=2,"draw",IF(CF6=2,"away",IF(CF7=2,"draw 1-1",IF(CF8=2,"home",IF(CF9=2,"away 0-2",IF(CF10=2,"away 1-2",IF(CF11=2,"home 2-1","rountime")))))))</f>
        <v/>
      </c>
      <c r="CH7" s="0">
        <f>IF(OR(CG7="away",CG7="home",CG7="draw"),"small",IF(OR(CG7="away",CG7="home",CG7="draw",CG7="draw 1-1",CG7="away 0-2"),"under",IF(CG7="rountime","RT",0)))</f>
        <v/>
      </c>
      <c r="CI7" s="195">
        <f>CI6+1</f>
        <v/>
      </c>
      <c r="CJ7" s="206">
        <f>POISSON(CI7,$C$8,FALSE)</f>
        <v/>
      </c>
      <c r="CK7" s="207">
        <f>$CK$5*CJ7</f>
        <v/>
      </c>
      <c r="CL7" s="192">
        <f>$CL$5*CJ7</f>
        <v/>
      </c>
      <c r="CM7" s="192">
        <f>$CM$5*CJ7</f>
        <v/>
      </c>
      <c r="CN7" s="192">
        <f>$CN$5*CJ7</f>
        <v/>
      </c>
      <c r="CO7" s="192">
        <f>$CO$5*CJ7</f>
        <v/>
      </c>
      <c r="CP7" s="192">
        <f>$CP$5*CJ7</f>
        <v/>
      </c>
      <c r="CQ7" s="192" t="n"/>
      <c r="CR7" s="192" t="n"/>
      <c r="CS7" s="206">
        <f>CS6+1</f>
        <v/>
      </c>
      <c r="CT7" s="192">
        <f>SUM(CK6,CL6,CK7)</f>
        <v/>
      </c>
      <c r="CU7" s="192">
        <f>(CV6-CT7)</f>
        <v/>
      </c>
      <c r="CV7" s="204" t="n"/>
      <c r="CW7" s="0">
        <f>CW6+1</f>
        <v/>
      </c>
      <c r="CX7" s="0">
        <f>SUM(CR2,CS2,CT2,CU2,CV2)</f>
        <v/>
      </c>
      <c r="CZ7" s="208">
        <f>IF(CZ6=CZ44,CZ6+1,CZ6+CZ44+0.5)</f>
        <v/>
      </c>
      <c r="DA7" s="201" t="n">
        <v>1</v>
      </c>
      <c r="DB7" s="202" t="inlineStr">
        <is>
          <t>:</t>
        </is>
      </c>
      <c r="DC7" s="203" t="n">
        <v>1</v>
      </c>
      <c r="DD7" s="192">
        <f>POISSON(DA7,$C$9,FALSE)*POISSON(DC7,$D$9,FALSE)*100</f>
        <v/>
      </c>
      <c r="DE7" s="204">
        <f>RANK(DD7,$DD$5:$DD$36,0)</f>
        <v/>
      </c>
      <c r="DF7" s="0">
        <f>IF(DE5=2,"draw",IF(DE6=2,"away",IF(DE7=2,"draw 1-1",IF(DE8=2,"home",IF(DE9=2,"away 0-2",IF(DE10=2,"away 1-2",IF(DE11=2,"home 2-1","rountime")))))))</f>
        <v/>
      </c>
      <c r="DG7" s="0">
        <f>IF(OR(DF7="away",DF7="home",DF7="draw"),"small",IF(OR(DF7="away",DF7="home",DF7="draw",DF7="draw 1-1",DF7="away 0-2"),"under",IF(DF7="rountime","RT",0)))</f>
        <v/>
      </c>
      <c r="DH7" s="195">
        <f>DH6+1</f>
        <v/>
      </c>
      <c r="DI7" s="206">
        <f>POISSON(DH7,$C$9,FALSE)</f>
        <v/>
      </c>
      <c r="DJ7" s="207">
        <f>$DJ$5*DI7</f>
        <v/>
      </c>
      <c r="DK7" s="192">
        <f>$DK$5*DI7</f>
        <v/>
      </c>
      <c r="DL7" s="192">
        <f>$DL$5*DI7</f>
        <v/>
      </c>
      <c r="DM7" s="192">
        <f>$DM$5*DI7</f>
        <v/>
      </c>
      <c r="DN7" s="192">
        <f>$DN$5*DI7</f>
        <v/>
      </c>
      <c r="DO7" s="192">
        <f>$DO$5*DI7</f>
        <v/>
      </c>
      <c r="DP7" s="192" t="n"/>
      <c r="DQ7" s="192" t="n"/>
      <c r="DR7" s="206">
        <f>DR6+1</f>
        <v/>
      </c>
      <c r="DS7" s="192">
        <f>SUM(DJ6,DK6,DJ7)</f>
        <v/>
      </c>
      <c r="DT7" s="192">
        <f>(DU6-DS7)</f>
        <v/>
      </c>
      <c r="DU7" s="204" t="n"/>
      <c r="DV7" s="0">
        <f>DV6+1</f>
        <v/>
      </c>
      <c r="DW7" s="0">
        <f>SUM(DQ2,DR2,DS2,DT2,DU2)</f>
        <v/>
      </c>
      <c r="DY7" s="208">
        <f>IF(DY6=DY44,DY6+1,DY6+DY44+0.5)</f>
        <v/>
      </c>
    </row>
    <row r="8" ht="15" customHeight="1" s="276">
      <c r="B8" s="0">
        <f>B7+1</f>
        <v/>
      </c>
      <c r="C8" s="0">
        <f>Sheet1!R52</f>
        <v/>
      </c>
      <c r="D8" s="0">
        <f>Sheet1!S52</f>
        <v/>
      </c>
      <c r="E8" s="201" t="n">
        <v>1</v>
      </c>
      <c r="F8" s="202" t="inlineStr">
        <is>
          <t>:</t>
        </is>
      </c>
      <c r="G8" s="203" t="n">
        <v>0</v>
      </c>
      <c r="H8" s="192">
        <f>POISSON(E8,$C$5,FALSE)*POISSON(G8,$D$5,FALSE)*100</f>
        <v/>
      </c>
      <c r="I8" s="204">
        <f>RANK(H8,$H$5:$H$36,0)</f>
        <v/>
      </c>
      <c r="J8" s="0">
        <f>IF(I5=3,"draw",IF(I6=3,"away",IF(I7=3,"draw 1-1",IF(I8=3,"home",IF(I9=3,"away 0-2",IF(I10=3,"away 1-2",IF(I11=3,"home 2-1","rountime")))))))</f>
        <v/>
      </c>
      <c r="K8" s="0">
        <f>IF(OR(J8="away",J8="home",J8="draw"),"small",IF(OR(J8="away",J8="home",J8="draw",J8="draw 1-1",J8="away 0-2"),"under",IF(J8="rountime","RT",0)))</f>
        <v/>
      </c>
      <c r="L8" s="195">
        <f>L7+1</f>
        <v/>
      </c>
      <c r="M8" s="206">
        <f>POISSON(L8,$C$5,FALSE)</f>
        <v/>
      </c>
      <c r="N8" s="192">
        <f>$N$5*M8</f>
        <v/>
      </c>
      <c r="O8" s="192">
        <f>$O$5*M8</f>
        <v/>
      </c>
      <c r="P8" s="207">
        <f>$P$5*M8</f>
        <v/>
      </c>
      <c r="Q8" s="192">
        <f>$Q$5*M8</f>
        <v/>
      </c>
      <c r="R8" s="192">
        <f>$R$5*M8</f>
        <v/>
      </c>
      <c r="S8" s="192">
        <f>$S$5*M8</f>
        <v/>
      </c>
      <c r="T8" s="209">
        <f>IF(T2&lt;0.6,"low",IF(T2&lt;1.38,"medium","high"))</f>
        <v/>
      </c>
      <c r="U8" s="192" t="n"/>
      <c r="V8" s="206">
        <f>V7+1</f>
        <v/>
      </c>
      <c r="W8" s="192">
        <f>SUM(N6,O6,P6,N7,N8,O7)</f>
        <v/>
      </c>
      <c r="X8" s="192">
        <f>(Y6-W8)</f>
        <v/>
      </c>
      <c r="Y8" s="204">
        <f>(X6/$Y$16)*100</f>
        <v/>
      </c>
      <c r="Z8" s="0" t="inlineStr">
        <is>
          <t xml:space="preserve">remain </t>
        </is>
      </c>
      <c r="AA8" s="0">
        <f>Z2-AA7</f>
        <v/>
      </c>
      <c r="AB8" s="0">
        <f>IF(AA9&lt;0.6,"Under",IF(AA9&lt;0.9,"under+",IF(AND(AA8&lt;0.9,AA9&gt;1,AA9&lt;2.9),"under",IF(AND(AA8&lt;1.5,AA9&gt;0.9,AA9&lt;1.75),"under+","over"))))</f>
        <v/>
      </c>
      <c r="AC8" s="0">
        <f>AVERAGE(AC6,AC7,AC44)+0.666667</f>
        <v/>
      </c>
      <c r="AD8" s="201" t="n">
        <v>1</v>
      </c>
      <c r="AE8" s="202">
        <f>AD8+AF8</f>
        <v/>
      </c>
      <c r="AF8" s="203" t="n">
        <v>0</v>
      </c>
      <c r="AG8" s="192">
        <f>POISSON(AD8,$C$6,FALSE)*POISSON(AF8,$D$6,FALSE)*100</f>
        <v/>
      </c>
      <c r="AH8" s="204">
        <f>RANK(AG8,$AG$5:$AG$36,0)</f>
        <v/>
      </c>
      <c r="AI8" s="0">
        <f>IF(AH5=3,"draw",IF(AH6=3,"away",IF(AH7=3,"draw 1-1",IF(AH8=3,"home",IF(AH9=3,"away 0-2",IF(AH10=3,"away 1-2",IF(AH11=3,"home 2-1","rountime")))))))</f>
        <v/>
      </c>
      <c r="AJ8" s="0">
        <f>IF(OR(AI8="away",AI8="home",AI8="draw"),"small",IF(OR(AI8="away",AI8="home",AI8="draw",AI8="draw 1-1",AI8="away 0-2"),"under",IF(AI8="rountime","RT",0)))</f>
        <v/>
      </c>
      <c r="AK8" s="195">
        <f>AK7+1</f>
        <v/>
      </c>
      <c r="AL8" s="206">
        <f>POISSON(AK8,$C$6,FALSE)</f>
        <v/>
      </c>
      <c r="AM8" s="207">
        <f>$AM$5*AL8</f>
        <v/>
      </c>
      <c r="AN8" s="192">
        <f>$AN$5*AL8</f>
        <v/>
      </c>
      <c r="AO8" s="192">
        <f>$AO$5*AL8</f>
        <v/>
      </c>
      <c r="AP8" s="192">
        <f>$AP$5*AL8</f>
        <v/>
      </c>
      <c r="AQ8" s="192">
        <f>$AQ$5*AL8</f>
        <v/>
      </c>
      <c r="AR8" s="192">
        <f>$AR$5*AL8</f>
        <v/>
      </c>
      <c r="AS8" s="209">
        <f>IF(AS2&lt;0.6,"low",IF(AS2&lt;1.38,"medium","high"))</f>
        <v/>
      </c>
      <c r="AT8" s="192" t="n"/>
      <c r="AU8" s="206">
        <f>AU7+1</f>
        <v/>
      </c>
      <c r="AV8" s="192">
        <f>SUM(AM6,AN6,AO6,AM7,AM8,AN7)</f>
        <v/>
      </c>
      <c r="AW8" s="192">
        <f>(AX6-AV8)</f>
        <v/>
      </c>
      <c r="AX8" s="204">
        <f>(AW6/$AX$16)*100</f>
        <v/>
      </c>
      <c r="AY8" s="0" t="inlineStr">
        <is>
          <t xml:space="preserve">remain </t>
        </is>
      </c>
      <c r="AZ8" s="0">
        <f>AY2-AZ7</f>
        <v/>
      </c>
      <c r="BA8" s="0">
        <f>IF(AZ9&lt;0.6,"Under",IF(AZ9&lt;0.9,"under+",IF(AND(AZ8&lt;0.9,AZ9&gt;1,AZ9&lt;2.9),"under",IF(AND(AZ8&lt;1.5,AZ9&gt;0.9,AZ9&lt;1.75),"under+","over"))))</f>
        <v/>
      </c>
      <c r="BB8" s="0">
        <f>AVERAGE(BB6,BB7,BB44)+0.666667</f>
        <v/>
      </c>
      <c r="BC8" s="201" t="n">
        <v>1</v>
      </c>
      <c r="BD8" s="202" t="inlineStr">
        <is>
          <t>:</t>
        </is>
      </c>
      <c r="BE8" s="203" t="n">
        <v>0</v>
      </c>
      <c r="BF8" s="192">
        <f>POISSON(BC8,$C$7,FALSE)*POISSON(BE8,$D$7,FALSE)*100</f>
        <v/>
      </c>
      <c r="BG8" s="204">
        <f>RANK(BF8,$BF$5:$BF$36,0)</f>
        <v/>
      </c>
      <c r="BH8" s="0">
        <f>IF(BG5=3,"draw",IF(BG6=3,"away",IF(BG7=3,"draw 1-1",IF(BG8=3,"home",IF(BG9=3,"away 0-2",IF(BG10=3,"away 1-2",IF(BG11=3,"home 2-1","rountime")))))))</f>
        <v/>
      </c>
      <c r="BI8" s="0">
        <f>IF(OR(BH8="away",BH8="home",BH8="draw"),"small",IF(OR(BH8="away",BH8="home",BH8="draw",BH8="draw 1-1",BH8="away 0-2"),"under",IF(BH8="rountime","RT",0)))</f>
        <v/>
      </c>
      <c r="BJ8" s="195">
        <f>BJ7+1</f>
        <v/>
      </c>
      <c r="BK8" s="206">
        <f>POISSON(BJ8,$C$7,FALSE)</f>
        <v/>
      </c>
      <c r="BL8" s="207">
        <f>$BL$5*BK8</f>
        <v/>
      </c>
      <c r="BM8" s="192">
        <f>$BM$5*BK8</f>
        <v/>
      </c>
      <c r="BN8" s="192">
        <f>$BN$5*BK8</f>
        <v/>
      </c>
      <c r="BO8" s="192">
        <f>$BO$5*BK8</f>
        <v/>
      </c>
      <c r="BP8" s="192">
        <f>$BP$5*BK8</f>
        <v/>
      </c>
      <c r="BQ8" s="192">
        <f>$BQ$5*BK8</f>
        <v/>
      </c>
      <c r="BR8" s="209">
        <f>IF(BR2&lt;0.6,"low",IF(BR2&lt;1.38,"medium","high"))</f>
        <v/>
      </c>
      <c r="BS8" s="192" t="n"/>
      <c r="BT8" s="206">
        <f>BT7+1</f>
        <v/>
      </c>
      <c r="BU8" s="192">
        <f>SUM(BL6,BM6,BN6,BL7,BL8,BM7)</f>
        <v/>
      </c>
      <c r="BV8" s="192">
        <f>(BW6-BU8)</f>
        <v/>
      </c>
      <c r="BW8" s="204" t="n"/>
      <c r="BX8" s="0" t="inlineStr">
        <is>
          <t xml:space="preserve">remain </t>
        </is>
      </c>
      <c r="BY8" s="0">
        <f>BX2-BY7</f>
        <v/>
      </c>
      <c r="BZ8" s="0">
        <f>IF(BY9&lt;0.6,"Under",IF(BY9&lt;0.9,"under+",IF(AND(BY8&lt;0.9,BY9&gt;1,BY9&lt;2.9),"under",IF(AND(BY8&lt;1.5,BY9&gt;0.9,BY9&lt;1.75),"under+","over"))))</f>
        <v/>
      </c>
      <c r="CA8" s="0">
        <f>AVERAGE(CA6,CA7,CA44)+0.666667</f>
        <v/>
      </c>
      <c r="CB8" s="201" t="n">
        <v>1</v>
      </c>
      <c r="CC8" s="202" t="inlineStr">
        <is>
          <t>:</t>
        </is>
      </c>
      <c r="CD8" s="203" t="n">
        <v>0</v>
      </c>
      <c r="CE8" s="192">
        <f>POISSON(CB8,$C$8,FALSE)*POISSON(CD8,$D$8,FALSE)*100</f>
        <v/>
      </c>
      <c r="CF8" s="204">
        <f>RANK(CE8,$CE$5:$CE$36,0)</f>
        <v/>
      </c>
      <c r="CG8" s="0">
        <f>IF(CF5=3,"draw",IF(CF6=3,"away",IF(CF7=3,"draw 1-1",IF(CF8=3,"home",IF(CF9=3,"away 0-2",IF(CF10=3,"away 1-2",IF(CF11=3,"home 2-1","rountime")))))))</f>
        <v/>
      </c>
      <c r="CH8" s="0">
        <f>IF(OR(CG8="away",CG8="home",CG8="draw"),"small",IF(OR(CG8="away",CG8="home",CG8="draw",CG8="draw 1-1",CG8="away 0-2"),"under",IF(CG8="rountime","RT",0)))</f>
        <v/>
      </c>
      <c r="CI8" s="195">
        <f>CI7+1</f>
        <v/>
      </c>
      <c r="CJ8" s="206">
        <f>POISSON(CI8,$C$8,FALSE)</f>
        <v/>
      </c>
      <c r="CK8" s="207">
        <f>$CK$5*CJ8</f>
        <v/>
      </c>
      <c r="CL8" s="192">
        <f>$CL$5*CJ8</f>
        <v/>
      </c>
      <c r="CM8" s="192">
        <f>$CM$5*CJ8</f>
        <v/>
      </c>
      <c r="CN8" s="192">
        <f>$CN$5*CJ8</f>
        <v/>
      </c>
      <c r="CO8" s="192">
        <f>$CO$5*CJ8</f>
        <v/>
      </c>
      <c r="CP8" s="192">
        <f>$CP$5*CJ8</f>
        <v/>
      </c>
      <c r="CQ8" s="209">
        <f>IF(CQ2&lt;0.6,"low",IF(CQ2&lt;1.38,"medium","high"))</f>
        <v/>
      </c>
      <c r="CR8" s="192" t="n"/>
      <c r="CS8" s="206">
        <f>CS7+1</f>
        <v/>
      </c>
      <c r="CT8" s="192">
        <f>SUM(CK6,CL6,CM6,CK7,CK8,CL7)</f>
        <v/>
      </c>
      <c r="CU8" s="192">
        <f>(CV6-CT8)</f>
        <v/>
      </c>
      <c r="CV8" s="204" t="n"/>
      <c r="CW8" s="0" t="inlineStr">
        <is>
          <t xml:space="preserve">remain </t>
        </is>
      </c>
      <c r="CX8" s="0">
        <f>CW2-CX7</f>
        <v/>
      </c>
      <c r="CY8" s="0">
        <f>IF(CX9&lt;0.6,"Under",IF(CX9&lt;0.9,"under+",IF(AND(CX8&lt;0.9,CX9&gt;1,CX9&lt;2.9),"under",IF(AND(CX8&lt;1.5,CX9&gt;0.9,CX9&lt;1.75),"under+","over"))))</f>
        <v/>
      </c>
      <c r="CZ8" s="0">
        <f>AVERAGE(CZ6,CZ7,CZ44)+0.666667</f>
        <v/>
      </c>
      <c r="DA8" s="201" t="n">
        <v>1</v>
      </c>
      <c r="DB8" s="202" t="inlineStr">
        <is>
          <t>:</t>
        </is>
      </c>
      <c r="DC8" s="203" t="n">
        <v>0</v>
      </c>
      <c r="DD8" s="192">
        <f>POISSON(DA8,$C$9,FALSE)*POISSON(DC8,$D$9,FALSE)*100</f>
        <v/>
      </c>
      <c r="DE8" s="204">
        <f>RANK(DD8,$DD$5:$DD$36,0)</f>
        <v/>
      </c>
      <c r="DF8" s="0">
        <f>IF(DE5=3,"draw",IF(DE6=3,"away",IF(DE7=3,"draw 1-1",IF(DE8=3,"home",IF(DE9=3,"away 0-2",IF(DE10=3,"away 1-2",IF(DE11=3,"home 2-1","rountime")))))))</f>
        <v/>
      </c>
      <c r="DG8" s="0">
        <f>IF(OR(DF8="away",DF8="home",DF8="draw"),"small",IF(OR(DF8="away",DF8="home",DF8="draw",DF8="draw 1-1",DF8="away 0-2"),"under",IF(DF8="rountime","RT",0)))</f>
        <v/>
      </c>
      <c r="DH8" s="195">
        <f>DH7+1</f>
        <v/>
      </c>
      <c r="DI8" s="206">
        <f>POISSON(DH8,$C$9,FALSE)</f>
        <v/>
      </c>
      <c r="DJ8" s="207">
        <f>$DJ$5*DI8</f>
        <v/>
      </c>
      <c r="DK8" s="192">
        <f>$DK$5*DI8</f>
        <v/>
      </c>
      <c r="DL8" s="192">
        <f>$DL$5*DI8</f>
        <v/>
      </c>
      <c r="DM8" s="192">
        <f>$DM$5*DI8</f>
        <v/>
      </c>
      <c r="DN8" s="192">
        <f>$DN$5*DI8</f>
        <v/>
      </c>
      <c r="DO8" s="192">
        <f>$DO$5*DI8</f>
        <v/>
      </c>
      <c r="DP8" s="209">
        <f>IF(DP2&lt;0.6,"low",IF(DP2&lt;1.38,"medium","high"))</f>
        <v/>
      </c>
      <c r="DQ8" s="192" t="n"/>
      <c r="DR8" s="206">
        <f>DR7+1</f>
        <v/>
      </c>
      <c r="DS8" s="192">
        <f>SUM(DJ6,DK6,DL6,DJ7,DJ8,DK7)</f>
        <v/>
      </c>
      <c r="DT8" s="192">
        <f>(DU6-DS8)</f>
        <v/>
      </c>
      <c r="DU8" s="204" t="n"/>
      <c r="DV8" s="0" t="inlineStr">
        <is>
          <t xml:space="preserve">remain </t>
        </is>
      </c>
      <c r="DW8" s="0">
        <f>DV2-DW7</f>
        <v/>
      </c>
      <c r="DX8" s="0">
        <f>IF(DW9&lt;0.6,"Under",IF(DW9&lt;0.9,"under+",IF(AND(DW8&lt;0.9,DW9&gt;1,DW9&lt;2.9),"under",IF(AND(DW8&lt;1.5,DW9&gt;0.9,DW9&lt;1.75),"under+","over"))))</f>
        <v/>
      </c>
      <c r="DY8" s="0">
        <f>AVERAGE(DY6,DY7,DY44)+0.666667</f>
        <v/>
      </c>
    </row>
    <row r="9" ht="15" customHeight="1" s="276">
      <c r="B9" s="0">
        <f>B8+1</f>
        <v/>
      </c>
      <c r="C9" s="0">
        <f>Sheet1!V52</f>
        <v/>
      </c>
      <c r="D9" s="0">
        <f>Sheet1!W52</f>
        <v/>
      </c>
      <c r="E9" s="201" t="n">
        <v>0</v>
      </c>
      <c r="F9" s="202" t="inlineStr">
        <is>
          <t>:</t>
        </is>
      </c>
      <c r="G9" s="203" t="n">
        <v>2</v>
      </c>
      <c r="H9" s="192">
        <f>POISSON(E9,$C$5,FALSE)*POISSON(G9,$D$5,FALSE)*100</f>
        <v/>
      </c>
      <c r="I9" s="204">
        <f>RANK(H9,$H$5:$H$36,0)</f>
        <v/>
      </c>
      <c r="J9" s="0">
        <f>IF(I5=4,"draw",IF(I6=4,"away",IF(I7=4,"draw 1-1",IF(I8=4,"home",IF(I9=4,"away 0-2",IF(I10=4,"away 1-2",IF(I11=4,"home 2-1","rountime")))))))</f>
        <v/>
      </c>
      <c r="K9" s="0">
        <f>IF(OR(J9="away",J9="home",J9="draw"),"small",IF(OR(J9="away",J9="home",J9="draw",J9="draw 1-1",J9="away 0-2"),"under",IF(J9="rountime","RT",0)))</f>
        <v/>
      </c>
      <c r="L9" s="195">
        <f>L8+1</f>
        <v/>
      </c>
      <c r="M9" s="206">
        <f>POISSON(L9,$C$5,FALSE)</f>
        <v/>
      </c>
      <c r="N9" s="192">
        <f>$N$5*M9</f>
        <v/>
      </c>
      <c r="O9" s="192">
        <f>$O$5*M9</f>
        <v/>
      </c>
      <c r="P9" s="192">
        <f>$P$5*M9</f>
        <v/>
      </c>
      <c r="Q9" s="207">
        <f>$Q$5*M9</f>
        <v/>
      </c>
      <c r="R9" s="192">
        <f>$R$5*M9</f>
        <v/>
      </c>
      <c r="S9" s="192">
        <f>$S$5*M9</f>
        <v/>
      </c>
      <c r="T9" s="210">
        <f>IF(W6&gt;0.38,"u0.5",IF(W7&gt;0.352,"U1.5",IF(W8&gt;0.5885,"u2.5",IF(W9&gt;0.6871,"U3.5",IF(W10&gt;0.6993,"u4.5","Run")))))</f>
        <v/>
      </c>
      <c r="U9" s="210">
        <f>IF(X10&gt;0.34,"O4.5",IF(X9&gt;0.6155,"O3.5",IF(X8&gt;0.5063,"O2.5",IF(X7&gt;0.74,"O1.5",IF(X6&gt;0.95,"O0.5","Run")))))</f>
        <v/>
      </c>
      <c r="V9" s="206">
        <f>V8+1</f>
        <v/>
      </c>
      <c r="W9" s="192">
        <f>SUM(N6,N7,O6,P6,O7,N8,N9,O8,P7,Q6)</f>
        <v/>
      </c>
      <c r="X9" s="192">
        <f>(Y6-W9)</f>
        <v/>
      </c>
      <c r="Y9" s="204">
        <f>(X7/$Y$16)*100</f>
        <v/>
      </c>
      <c r="AA9" s="0">
        <f>AA47</f>
        <v/>
      </c>
      <c r="AD9" s="201" t="n">
        <v>0</v>
      </c>
      <c r="AE9" s="202">
        <f>AD9+AF9</f>
        <v/>
      </c>
      <c r="AF9" s="203" t="n">
        <v>2</v>
      </c>
      <c r="AG9" s="192">
        <f>POISSON(AD9,$C$6,FALSE)*POISSON(AF9,$D$6,FALSE)*100</f>
        <v/>
      </c>
      <c r="AH9" s="204">
        <f>RANK(AG9,$AG$5:$AG$36,0)</f>
        <v/>
      </c>
      <c r="AI9" s="0">
        <f>IF(AH5=4,"draw",IF(AH6=4,"away",IF(AH7=4,"draw 1-1",IF(AH8=4,"home",IF(AH9=4,"away 0-2",IF(AH10=4,"away 1-2",IF(AH11=4,"home 2-1","rountime")))))))</f>
        <v/>
      </c>
      <c r="AJ9" s="0">
        <f>IF(OR(AI9="away",AI9="home",AI9="draw"),"small",IF(OR(AI9="away",AI9="home",AI9="draw",AI9="draw 1-1",AI9="away 0-2"),"under",IF(AI9="rountime","RT",0)))</f>
        <v/>
      </c>
      <c r="AK9" s="195">
        <f>AK8+1</f>
        <v/>
      </c>
      <c r="AL9" s="206">
        <f>POISSON(AK9,$C$6,FALSE)</f>
        <v/>
      </c>
      <c r="AM9" s="207">
        <f>$AM$5*AL9</f>
        <v/>
      </c>
      <c r="AN9" s="192">
        <f>$AN$5*AL9</f>
        <v/>
      </c>
      <c r="AO9" s="192">
        <f>$AO$5*AL9</f>
        <v/>
      </c>
      <c r="AP9" s="192">
        <f>$AP$5*AL9</f>
        <v/>
      </c>
      <c r="AQ9" s="192">
        <f>$AQ$5*AL9</f>
        <v/>
      </c>
      <c r="AR9" s="192">
        <f>$AR$5*AL9</f>
        <v/>
      </c>
      <c r="AS9" s="210">
        <f>IF(AV6&gt;0.38,"u0.5",IF(AV7&gt;0.352,"U1.5",IF(AV8&gt;0.5885,"u2.5",IF(AV9&gt;0.6871,"U3.5",IF(AV10&gt;0.6993,"u4.5","Run")))))</f>
        <v/>
      </c>
      <c r="AT9" s="210">
        <f>IF(AW10&gt;0.34,"O4.5",IF(AW9&gt;0.6155,"O3.5",IF(AW8&gt;0.5063,"O2.5",IF(AW7&gt;0.74,"O1.5",IF(AW6&gt;0.95,"O0.5","Run")))))</f>
        <v/>
      </c>
      <c r="AU9" s="206">
        <f>AU8+1</f>
        <v/>
      </c>
      <c r="AV9" s="192">
        <f>SUM(AM6,AM7,AN6,AO6,AN7,AM8,AM9,AN8,AO7,AP6)</f>
        <v/>
      </c>
      <c r="AW9" s="192">
        <f>(AX6-AV9)</f>
        <v/>
      </c>
      <c r="AX9" s="204">
        <f>(AW7/$AX$16)*100</f>
        <v/>
      </c>
      <c r="AZ9" s="0">
        <f>AZ47</f>
        <v/>
      </c>
      <c r="BC9" s="201" t="n">
        <v>0</v>
      </c>
      <c r="BD9" s="202" t="inlineStr">
        <is>
          <t>:</t>
        </is>
      </c>
      <c r="BE9" s="203" t="n">
        <v>2</v>
      </c>
      <c r="BF9" s="192">
        <f>POISSON(BC9,$C$7,FALSE)*POISSON(BE9,$D$7,FALSE)*100</f>
        <v/>
      </c>
      <c r="BG9" s="204">
        <f>RANK(BF9,$BF$5:$BF$36,0)</f>
        <v/>
      </c>
      <c r="BH9" s="0">
        <f>IF(BG5=4,"draw",IF(BG6=4,"away",IF(BG7=4,"draw 1-1",IF(BG8=4,"home",IF(BG9=4,"away 0-2",IF(BG10=4,"away 1-2",IF(BG11=4,"home 2-1","rountime")))))))</f>
        <v/>
      </c>
      <c r="BI9" s="0">
        <f>IF(OR(BH9="away",BH9="home",BH9="draw"),"small",IF(OR(BH9="away",BH9="home",BH9="draw",BH9="draw 1-1",BH9="away 0-2"),"under",IF(BH9="rountime","RT",0)))</f>
        <v/>
      </c>
      <c r="BJ9" s="195">
        <f>BJ8+1</f>
        <v/>
      </c>
      <c r="BK9" s="206">
        <f>POISSON(BJ9,$C$7,FALSE)</f>
        <v/>
      </c>
      <c r="BL9" s="207">
        <f>$BL$5*BK9</f>
        <v/>
      </c>
      <c r="BM9" s="192">
        <f>$BM$5*BK9</f>
        <v/>
      </c>
      <c r="BN9" s="192">
        <f>$BN$5*BK9</f>
        <v/>
      </c>
      <c r="BO9" s="192">
        <f>$BO$5*BK9</f>
        <v/>
      </c>
      <c r="BP9" s="192">
        <f>$BP$5*BK9</f>
        <v/>
      </c>
      <c r="BQ9" s="192">
        <f>$BQ$5*BK9</f>
        <v/>
      </c>
      <c r="BR9" s="210">
        <f>IF(BU6&gt;0.38,"u0.5",IF(BU7&gt;0.352,"U1.5",IF(BU8&gt;0.5885,"u2.5",IF(BU9&gt;0.6871,"U3.5",IF(BU10&gt;0.6993,"u4.5","Run")))))</f>
        <v/>
      </c>
      <c r="BS9" s="210">
        <f>IF(BV10&gt;0.34,"O4.5",IF(BV9&gt;0.6155,"O3.5",IF(BV8&gt;0.5063,"O2.5",IF(BV7&gt;0.74,"O1.5",IF(BV6&gt;0.95,"O0.5","Run")))))</f>
        <v/>
      </c>
      <c r="BT9" s="206">
        <f>BT8+1</f>
        <v/>
      </c>
      <c r="BU9" s="192">
        <f>SUM(BL6,BL7,BM6,BN6,BM7,BL8,BL9,BM8,BN7,BO6)</f>
        <v/>
      </c>
      <c r="BV9" s="192">
        <f>(BW6-BU9)</f>
        <v/>
      </c>
      <c r="BW9" s="204" t="n"/>
      <c r="BY9" s="0">
        <f>BY47</f>
        <v/>
      </c>
      <c r="CB9" s="201" t="n">
        <v>0</v>
      </c>
      <c r="CC9" s="202" t="inlineStr">
        <is>
          <t>:</t>
        </is>
      </c>
      <c r="CD9" s="203" t="n">
        <v>2</v>
      </c>
      <c r="CE9" s="192">
        <f>POISSON(CB9,$C$8,FALSE)*POISSON(CD9,$D$8,FALSE)*100</f>
        <v/>
      </c>
      <c r="CF9" s="204">
        <f>RANK(CE9,$CE$5:$CE$36,0)</f>
        <v/>
      </c>
      <c r="CG9" s="0">
        <f>IF(CF5=4,"draw",IF(CF6=4,"away",IF(CF7=4,"draw 1-1",IF(CF8=4,"home",IF(CF9=4,"away 0-2",IF(CF10=4,"away 1-2",IF(CF11=4,"home 2-1","rountime")))))))</f>
        <v/>
      </c>
      <c r="CH9" s="0">
        <f>IF(OR(CG9="away",CG9="home",CG9="draw"),"small",IF(OR(CG9="away",CG9="home",CG9="draw",CG9="draw 1-1",CG9="away 0-2"),"under",IF(CG9="rountime","RT",0)))</f>
        <v/>
      </c>
      <c r="CI9" s="195">
        <f>CI8+1</f>
        <v/>
      </c>
      <c r="CJ9" s="206">
        <f>POISSON(CI9,$C$8,FALSE)</f>
        <v/>
      </c>
      <c r="CK9" s="207">
        <f>$CK$5*CJ9</f>
        <v/>
      </c>
      <c r="CL9" s="192">
        <f>$CL$5*CJ9</f>
        <v/>
      </c>
      <c r="CM9" s="192">
        <f>$CM$5*CJ9</f>
        <v/>
      </c>
      <c r="CN9" s="192">
        <f>$CN$5*CJ9</f>
        <v/>
      </c>
      <c r="CO9" s="192">
        <f>$CO$5*CJ9</f>
        <v/>
      </c>
      <c r="CP9" s="192">
        <f>$CP$5*CJ9</f>
        <v/>
      </c>
      <c r="CQ9" s="210">
        <f>IF(CT6&gt;0.38,"u0.5",IF(CT7&gt;0.352,"U1.5",IF(CT8&gt;0.5885,"u2.5",IF(CT9&gt;0.6871,"U3.5",IF(CT10&gt;0.6993,"u4.5","Run")))))</f>
        <v/>
      </c>
      <c r="CR9" s="210">
        <f>IF(CU10&gt;0.34,"O4.5",IF(CU9&gt;0.6155,"O3.5",IF(CU8&gt;0.5063,"O2.5",IF(CU7&gt;0.74,"O1.5",IF(CU6&gt;0.95,"O0.5","Run")))))</f>
        <v/>
      </c>
      <c r="CS9" s="206">
        <f>CS8+1</f>
        <v/>
      </c>
      <c r="CT9" s="192">
        <f>SUM(CK6,CK7,CL6,CM6,CL7,CK8,CK9,CL8,CM7,CN6)</f>
        <v/>
      </c>
      <c r="CU9" s="192">
        <f>(CV6-CT9)</f>
        <v/>
      </c>
      <c r="CV9" s="204" t="n"/>
      <c r="CX9" s="0">
        <f>CX47</f>
        <v/>
      </c>
      <c r="DA9" s="201" t="n">
        <v>0</v>
      </c>
      <c r="DB9" s="202" t="inlineStr">
        <is>
          <t>:</t>
        </is>
      </c>
      <c r="DC9" s="203" t="n">
        <v>2</v>
      </c>
      <c r="DD9" s="192">
        <f>POISSON(DA9,$C$9,FALSE)*POISSON(DC9,$D$9,FALSE)*100</f>
        <v/>
      </c>
      <c r="DE9" s="204">
        <f>RANK(DD9,$DD$5:$DD$36,0)</f>
        <v/>
      </c>
      <c r="DF9" s="0">
        <f>IF(DE5=4,"draw",IF(DE6=4,"away",IF(DE7=4,"draw 1-1",IF(DE8=4,"home",IF(DE9=4,"away 0-2",IF(DE10=4,"away 1-2",IF(DE11=4,"home 2-1","rountime")))))))</f>
        <v/>
      </c>
      <c r="DG9" s="0">
        <f>IF(OR(DF9="away",DF9="home",DF9="draw"),"small",IF(OR(DF9="away",DF9="home",DF9="draw",DF9="draw 1-1",DF9="away 0-2"),"under",IF(DF9="rountime","RT",0)))</f>
        <v/>
      </c>
      <c r="DH9" s="195">
        <f>DH8+1</f>
        <v/>
      </c>
      <c r="DI9" s="206">
        <f>POISSON(DH9,$C$9,FALSE)</f>
        <v/>
      </c>
      <c r="DJ9" s="207">
        <f>$DJ$5*DI9</f>
        <v/>
      </c>
      <c r="DK9" s="192">
        <f>$DK$5*DI9</f>
        <v/>
      </c>
      <c r="DL9" s="192">
        <f>$DL$5*DI9</f>
        <v/>
      </c>
      <c r="DM9" s="192">
        <f>$DM$5*DI9</f>
        <v/>
      </c>
      <c r="DN9" s="192">
        <f>$DN$5*DI9</f>
        <v/>
      </c>
      <c r="DO9" s="192">
        <f>$DO$5*DI9</f>
        <v/>
      </c>
      <c r="DP9" s="210">
        <f>IF(DS6&gt;0.38,"u0.5",IF(DS7&gt;0.352,"U1.5",IF(DS8&gt;0.5885,"u2.5",IF(DS9&gt;0.6871,"U3.5",IF(DS10&gt;0.6993,"u4.5","Run")))))</f>
        <v/>
      </c>
      <c r="DQ9" s="210">
        <f>IF(DT10&gt;0.34,"O4.5",IF(DT9&gt;0.6155,"O3.5",IF(DT8&gt;0.5063,"O2.5",IF(DT7&gt;0.74,"O1.5",IF(DT6&gt;0.95,"O0.5","Run")))))</f>
        <v/>
      </c>
      <c r="DR9" s="206">
        <f>DR8+1</f>
        <v/>
      </c>
      <c r="DS9" s="192">
        <f>SUM(DJ6,DJ7,DK6,DL6,DK7,DJ8,DJ9,DK8,DL7,DM6)</f>
        <v/>
      </c>
      <c r="DT9" s="192">
        <f>(DU6-DS9)</f>
        <v/>
      </c>
      <c r="DU9" s="204" t="n"/>
      <c r="DW9" s="0">
        <f>DW47</f>
        <v/>
      </c>
    </row>
    <row r="10" ht="15" customHeight="1" s="276">
      <c r="C10" s="0" t="inlineStr">
        <is>
          <t xml:space="preserve">avrrage </t>
        </is>
      </c>
      <c r="D10" s="211">
        <f>Sheet1!E45</f>
        <v/>
      </c>
      <c r="E10" s="201" t="n">
        <v>1</v>
      </c>
      <c r="F10" s="202" t="inlineStr">
        <is>
          <t>:</t>
        </is>
      </c>
      <c r="G10" s="203" t="n">
        <v>2</v>
      </c>
      <c r="H10" s="192">
        <f>POISSON(E10,$C$5,FALSE)*POISSON(G10,$D$5,FALSE)*100</f>
        <v/>
      </c>
      <c r="I10" s="204">
        <f>RANK(H10,$H$5:$H$36,0)</f>
        <v/>
      </c>
      <c r="J10" s="0">
        <f>IF(J6="draw",1,IF(J6="draw 1-1",1,IF(J6="home",2,IF(J6="home 2-1",2,IF(J6="away",3,IF(J6="away 1-2",3,IF(J6="away 0-2",3,0)))))))</f>
        <v/>
      </c>
      <c r="K10" s="0">
        <f>COUNTIF(K6:K9,"small")</f>
        <v/>
      </c>
      <c r="L10" s="195">
        <f>L9+1</f>
        <v/>
      </c>
      <c r="M10" s="206">
        <f>POISSON(L10,$C$5,FALSE)</f>
        <v/>
      </c>
      <c r="N10" s="192">
        <f>$N$5*M10</f>
        <v/>
      </c>
      <c r="O10" s="192">
        <f>$O$5*M10</f>
        <v/>
      </c>
      <c r="P10" s="192">
        <f>$P$5*M10</f>
        <v/>
      </c>
      <c r="Q10" s="192">
        <f>$Q$5*M10</f>
        <v/>
      </c>
      <c r="R10" s="207">
        <f>$R$5*M10</f>
        <v/>
      </c>
      <c r="S10" s="192">
        <f>$S$5*M10</f>
        <v/>
      </c>
      <c r="T10" s="210">
        <f>IF(W6&gt;0.4,"u0.5",IF(W7&gt;0.52,"U1.5",IF(W8&gt;0.721,"u2.5",IF(W9&gt;0.79775,"U3.5",IF(W10&gt;0.8165,"u4.5","Run")))))</f>
        <v/>
      </c>
      <c r="U10" s="210">
        <f>IF(X10&gt;0.55,"O4.5",IF(X9&gt;0.69775,"O3.5",IF(X8&gt;0.7,"O2.5",IF(X7&gt;0.79,"O1.5",IF(X6&gt;0.92,"O0.5","Run")))))</f>
        <v/>
      </c>
      <c r="V10" s="206">
        <f>V9+1</f>
        <v/>
      </c>
      <c r="W10" s="192">
        <f>SUM(N6,N7,O6,P6,O7,N8,N9,O8,P7,Q6,R6,Q7,P8,O9,N10)</f>
        <v/>
      </c>
      <c r="X10" s="192">
        <f>(Y6-W10)</f>
        <v/>
      </c>
      <c r="Y10" s="204">
        <f>(X8/$Y$16)*100</f>
        <v/>
      </c>
      <c r="Z10" s="0">
        <f>Y8-U13</f>
        <v/>
      </c>
      <c r="AA10" s="0">
        <f>IF(Z10&lt;0,1,0)</f>
        <v/>
      </c>
      <c r="AD10" s="201" t="n">
        <v>1</v>
      </c>
      <c r="AE10" s="202">
        <f>AD10+AF10</f>
        <v/>
      </c>
      <c r="AF10" s="203" t="n">
        <v>2</v>
      </c>
      <c r="AG10" s="192">
        <f>POISSON(AD10,$C$6,FALSE)*POISSON(AF10,$D$6,FALSE)*100</f>
        <v/>
      </c>
      <c r="AH10" s="204">
        <f>RANK(AG10,$AG$5:$AG$36,0)</f>
        <v/>
      </c>
      <c r="AI10" s="0">
        <f>IF(AI6="draw",1,IF(AI6="draw 1-1",1,IF(AI6="home",2,IF(AI6="home 2-1",2,IF(AI6="away",3,IF(AI6="away 1-2",3,IF(AI6="away 0-2",3,0)))))))</f>
        <v/>
      </c>
      <c r="AJ10" s="0">
        <f>COUNTIF(AJ6:AJ9,"small")</f>
        <v/>
      </c>
      <c r="AK10" s="195">
        <f>AK9+1</f>
        <v/>
      </c>
      <c r="AL10" s="206">
        <f>POISSON(AK10,$C$6,FALSE)</f>
        <v/>
      </c>
      <c r="AM10" s="207">
        <f>$AM$5*AL10</f>
        <v/>
      </c>
      <c r="AN10" s="192">
        <f>$AN$5*AL10</f>
        <v/>
      </c>
      <c r="AO10" s="192">
        <f>$AO$5*AL10</f>
        <v/>
      </c>
      <c r="AP10" s="192">
        <f>$AP$5*AL10</f>
        <v/>
      </c>
      <c r="AQ10" s="192">
        <f>$AQ$5*AL10</f>
        <v/>
      </c>
      <c r="AR10" s="192">
        <f>$AR$5*AL10</f>
        <v/>
      </c>
      <c r="AS10" s="210">
        <f>IF(AV6&gt;0.4,"u0.5",IF(AV7&gt;0.52,"U1.5",IF(AV8&gt;0.721,"u2.5",IF(AV9&gt;0.79775,"U3.5",IF(AV10&gt;0.8165,"u4.5","Run")))))</f>
        <v/>
      </c>
      <c r="AT10" s="210">
        <f>IF(AW10&gt;0.55,"O4.5",IF(AW9&gt;0.69775,"O3.5",IF(AW8&gt;0.7,"O2.5",IF(AW7&gt;0.79,"O1.5",IF(AW6&gt;0.92,"O0.5","Run")))))</f>
        <v/>
      </c>
      <c r="AU10" s="206">
        <f>AU9+1</f>
        <v/>
      </c>
      <c r="AV10" s="192">
        <f>SUM(AM6,AM7,AN6,AO6,AN7,AM8,AM9,AN8,AO7,AP6,AQ6,AP7,AO8,AN9,AM10)</f>
        <v/>
      </c>
      <c r="AW10" s="192">
        <f>(AX6-AV10)</f>
        <v/>
      </c>
      <c r="AX10" s="204">
        <f>(AW8/$AX$16)*100</f>
        <v/>
      </c>
      <c r="AY10" s="0">
        <f>AX8-AT13</f>
        <v/>
      </c>
      <c r="AZ10" s="0">
        <f>IF(AY10&lt;0,1,0)</f>
        <v/>
      </c>
      <c r="BC10" s="201" t="n">
        <v>1</v>
      </c>
      <c r="BD10" s="202" t="inlineStr">
        <is>
          <t>:</t>
        </is>
      </c>
      <c r="BE10" s="203" t="n">
        <v>2</v>
      </c>
      <c r="BF10" s="192">
        <f>POISSON(BC10,$C$7,FALSE)*POISSON(BE10,$D$7,FALSE)*100</f>
        <v/>
      </c>
      <c r="BG10" s="204">
        <f>RANK(BF10,$BF$5:$BF$36,0)</f>
        <v/>
      </c>
      <c r="BH10" s="0">
        <f>IF(BH6="draw",1,IF(BH6="draw 1-1",1,IF(BH6="home",2,IF(BH6="home 2-1",2,IF(BH6="away",3,IF(BH6="away 1-2",3,IF(BH6="away 0-2",3,0)))))))</f>
        <v/>
      </c>
      <c r="BI10" s="0">
        <f>COUNTIF(BI6:BI9,"small")</f>
        <v/>
      </c>
      <c r="BJ10" s="195">
        <f>BJ9+1</f>
        <v/>
      </c>
      <c r="BK10" s="206">
        <f>POISSON(BJ10,$C$7,FALSE)</f>
        <v/>
      </c>
      <c r="BL10" s="207">
        <f>$BL$5*BK10</f>
        <v/>
      </c>
      <c r="BM10" s="192">
        <f>$BM$5*BK10</f>
        <v/>
      </c>
      <c r="BN10" s="192">
        <f>$BN$5*BK10</f>
        <v/>
      </c>
      <c r="BO10" s="192">
        <f>$BO$5*BK10</f>
        <v/>
      </c>
      <c r="BP10" s="192">
        <f>$BP$5*BK10</f>
        <v/>
      </c>
      <c r="BQ10" s="192">
        <f>$BQ$5*BK10</f>
        <v/>
      </c>
      <c r="BR10" s="210">
        <f>IF(BU6&gt;0.4,"u0.5",IF(BU7&gt;0.52,"U1.5",IF(BU8&gt;0.721,"u2.5",IF(BU9&gt;0.79775,"U3.5",IF(BU10&gt;0.8165,"u4.5","Run")))))</f>
        <v/>
      </c>
      <c r="BS10" s="210">
        <f>IF(BV10&gt;0.55,"O4.5",IF(BV9&gt;0.69775,"O3.5",IF(BV8&gt;0.7,"O2.5",IF(BV7&gt;0.79,"O1.5",IF(BV6&gt;0.92,"O0.5","Run")))))</f>
        <v/>
      </c>
      <c r="BT10" s="206">
        <f>BT9+1</f>
        <v/>
      </c>
      <c r="BU10" s="192">
        <f>SUM(BL6,BL7,BM6,BN6,BM7,BL8,BL9,BM8,BN7,BO6,BP6,BO7,BN8,BM9,BL10)</f>
        <v/>
      </c>
      <c r="BV10" s="192">
        <f>(BW6-BU10)</f>
        <v/>
      </c>
      <c r="BW10" s="204" t="n"/>
      <c r="CB10" s="201" t="n">
        <v>1</v>
      </c>
      <c r="CC10" s="202" t="inlineStr">
        <is>
          <t>:</t>
        </is>
      </c>
      <c r="CD10" s="203" t="n">
        <v>2</v>
      </c>
      <c r="CE10" s="192">
        <f>POISSON(CB10,$C$8,FALSE)*POISSON(CD10,$D$8,FALSE)*100</f>
        <v/>
      </c>
      <c r="CF10" s="204">
        <f>RANK(CE10,$CE$5:$CE$36,0)</f>
        <v/>
      </c>
      <c r="CG10" s="0">
        <f>IF(CG6="draw",1,IF(CG6="draw 1-1",1,IF(CG6="home",2,IF(CG6="home 2-1",2,IF(CG6="away",3,IF(CG6="away 1-2",3,IF(CG6="away 0-2",3,0)))))))</f>
        <v/>
      </c>
      <c r="CH10" s="0">
        <f>COUNTIF(CH6:CH9,"small")</f>
        <v/>
      </c>
      <c r="CI10" s="195">
        <f>CI9+1</f>
        <v/>
      </c>
      <c r="CJ10" s="206">
        <f>POISSON(CI10,$C$8,FALSE)</f>
        <v/>
      </c>
      <c r="CK10" s="207">
        <f>$CK$5*CJ10</f>
        <v/>
      </c>
      <c r="CL10" s="192">
        <f>$CL$5*CJ10</f>
        <v/>
      </c>
      <c r="CM10" s="192">
        <f>$CM$5*CJ10</f>
        <v/>
      </c>
      <c r="CN10" s="192">
        <f>$CN$5*CJ10</f>
        <v/>
      </c>
      <c r="CO10" s="192">
        <f>$CO$5*CJ10</f>
        <v/>
      </c>
      <c r="CP10" s="192">
        <f>$CP$5*CJ10</f>
        <v/>
      </c>
      <c r="CQ10" s="210">
        <f>IF(CT6&gt;0.4,"u0.5",IF(CT7&gt;0.52,"U1.5",IF(CT8&gt;0.721,"u2.5",IF(CT9&gt;0.79775,"U3.5",IF(CT10&gt;0.8165,"u4.5","Run")))))</f>
        <v/>
      </c>
      <c r="CR10" s="210">
        <f>IF(CU10&gt;0.55,"O4.5",IF(CU9&gt;0.69775,"O3.5",IF(CU8&gt;0.7,"O2.5",IF(CU7&gt;0.79,"O1.5",IF(CU6&gt;0.92,"O0.5","Run")))))</f>
        <v/>
      </c>
      <c r="CS10" s="206">
        <f>CS9+1</f>
        <v/>
      </c>
      <c r="CT10" s="192">
        <f>SUM(CK6,CK7,CL6,CM6,CL7,CK8,CK9,CL8,CM7,CN6,CO6,CN7,CM8,CL9,CK10)</f>
        <v/>
      </c>
      <c r="CU10" s="192">
        <f>(CV6-CT10)</f>
        <v/>
      </c>
      <c r="CV10" s="204" t="n"/>
      <c r="DA10" s="201" t="n">
        <v>1</v>
      </c>
      <c r="DB10" s="202" t="inlineStr">
        <is>
          <t>:</t>
        </is>
      </c>
      <c r="DC10" s="203" t="n">
        <v>2</v>
      </c>
      <c r="DD10" s="192">
        <f>POISSON(DA10,$C$9,FALSE)*POISSON(DC10,$D$9,FALSE)*100</f>
        <v/>
      </c>
      <c r="DE10" s="204">
        <f>RANK(DD10,$DD$5:$DD$36,0)</f>
        <v/>
      </c>
      <c r="DF10" s="0">
        <f>IF(DF6="draw",1,IF(DF6="draw 1-1",1,IF(DF6="home",2,IF(DF6="home 2-1",2,IF(DF6="away",3,IF(DF6="away 1-2",3,IF(DF6="away 0-2",3,0)))))))</f>
        <v/>
      </c>
      <c r="DG10" s="0">
        <f>COUNTIF(DG6:DG9,"small")</f>
        <v/>
      </c>
      <c r="DH10" s="195">
        <f>DH9+1</f>
        <v/>
      </c>
      <c r="DI10" s="206">
        <f>POISSON(DH10,$C$9,FALSE)</f>
        <v/>
      </c>
      <c r="DJ10" s="207">
        <f>$DJ$5*DI10</f>
        <v/>
      </c>
      <c r="DK10" s="192">
        <f>$DK$5*DI10</f>
        <v/>
      </c>
      <c r="DL10" s="192">
        <f>$DL$5*DI10</f>
        <v/>
      </c>
      <c r="DM10" s="192">
        <f>$DM$5*DI10</f>
        <v/>
      </c>
      <c r="DN10" s="192">
        <f>$DN$5*DI10</f>
        <v/>
      </c>
      <c r="DO10" s="192">
        <f>$DO$5*DI10</f>
        <v/>
      </c>
      <c r="DP10" s="210">
        <f>IF(DS6&gt;0.4,"u0.5",IF(DS7&gt;0.52,"U1.5",IF(DS8&gt;0.721,"u2.5",IF(DS9&gt;0.79775,"U3.5",IF(DS10&gt;0.8165,"u4.5","Run")))))</f>
        <v/>
      </c>
      <c r="DQ10" s="210">
        <f>IF(DT10&gt;0.55,"O4.5",IF(DT9&gt;0.69775,"O3.5",IF(DT8&gt;0.7,"O2.5",IF(DT7&gt;0.79,"O1.5",IF(DT6&gt;0.92,"O0.5","Run")))))</f>
        <v/>
      </c>
      <c r="DR10" s="206">
        <f>DR9+1</f>
        <v/>
      </c>
      <c r="DS10" s="192">
        <f>SUM(DJ6,DJ7,DK6,DL6,DK7,DJ8,DJ9,DK8,DL7,DM6,DN6,DM7,DL8,DK9,DJ10)</f>
        <v/>
      </c>
      <c r="DT10" s="192">
        <f>(DU6-DS10)</f>
        <v/>
      </c>
      <c r="DU10" s="204" t="n"/>
    </row>
    <row r="11" ht="15" customHeight="1" s="276">
      <c r="D11" s="0">
        <f>IF(D10&gt;1.28,"High scoring league",IF(D10&lt;1.1,"low scoring","medium"))</f>
        <v/>
      </c>
      <c r="E11" s="201" t="n">
        <v>2</v>
      </c>
      <c r="F11" s="202" t="inlineStr">
        <is>
          <t>:</t>
        </is>
      </c>
      <c r="G11" s="203" t="n">
        <v>1</v>
      </c>
      <c r="H11" s="192">
        <f>POISSON(E11,$C$5,FALSE)*POISSON(G11,$D$5,FALSE)*100</f>
        <v/>
      </c>
      <c r="I11" s="204">
        <f>RANK(H11,$H$5:$H$36,0)</f>
        <v/>
      </c>
      <c r="J11" s="0">
        <f>IF(J7="draw",1,IF(J7="draw 1-1",1,IF(J7="home",2,IF(J7="home 2-1",2,IF(J7="away",3,IF(J7="away 1-2",3,IF(J7="away 0-2",3,0)))))))</f>
        <v/>
      </c>
      <c r="K11" s="0">
        <f>COUNTIF(K6:K9,"under")</f>
        <v/>
      </c>
      <c r="L11" s="195">
        <f>L10+1</f>
        <v/>
      </c>
      <c r="M11" s="206">
        <f>POISSON(L11,$C$5,FALSE)</f>
        <v/>
      </c>
      <c r="N11" s="192">
        <f>$N$5*M11</f>
        <v/>
      </c>
      <c r="O11" s="192">
        <f>$O$5*M11</f>
        <v/>
      </c>
      <c r="P11" s="192">
        <f>$P$5*M11</f>
        <v/>
      </c>
      <c r="Q11" s="192">
        <f>$Q$5*M11</f>
        <v/>
      </c>
      <c r="R11" s="192">
        <f>$R$5*M11</f>
        <v/>
      </c>
      <c r="S11" s="207">
        <f>$S$5*M11</f>
        <v/>
      </c>
      <c r="T11" s="192" t="n"/>
      <c r="U11" s="210" t="n"/>
      <c r="V11" s="210" t="inlineStr">
        <is>
          <t xml:space="preserve">decision </t>
        </is>
      </c>
      <c r="W11" s="210">
        <f>IF(W6&gt;0.46,"u0.5",IF(W7&gt;0.688,"U1.5",IF(W8&gt;0.855,"u2.5",IF(W9&gt;0.908,"U3.5",IF(W10&gt;0.93,"u4.5","Run")))))</f>
        <v/>
      </c>
      <c r="X11" s="210">
        <f>IF(X10&gt;0.77,"O4.5",IF(X9&gt;0.79,"O3.5",IF(X8&gt;0.84,"O2.5",IF(X7&gt;0.855,"O1.5",IF(X6&gt;0.88,"O0.5","Run")))))</f>
        <v/>
      </c>
      <c r="Y11" s="204">
        <f>(X9/$Y$16)*100</f>
        <v/>
      </c>
      <c r="Z11" s="0">
        <f>Y9-U14</f>
        <v/>
      </c>
      <c r="AA11" s="0">
        <f>IF(Z11&lt;0,1,0)</f>
        <v/>
      </c>
      <c r="AD11" s="201" t="n">
        <v>2</v>
      </c>
      <c r="AE11" s="202">
        <f>AD11+AF11</f>
        <v/>
      </c>
      <c r="AF11" s="203" t="n">
        <v>1</v>
      </c>
      <c r="AG11" s="192">
        <f>POISSON(AD11,$C$6,FALSE)*POISSON(AF11,$D$6,FALSE)*100</f>
        <v/>
      </c>
      <c r="AH11" s="204">
        <f>RANK(AG11,$AG$5:$AG$36,0)</f>
        <v/>
      </c>
      <c r="AI11" s="0">
        <f>IF(AI7="draw",1,IF(AI7="draw 1-1",1,IF(AI7="home",2,IF(AI7="home 2-1",2,IF(AI7="away",3,IF(AI7="away 1-2",3,IF(AI7="away 0-2",3,0)))))))</f>
        <v/>
      </c>
      <c r="AJ11" s="0">
        <f>COUNTIF(AJ6:AJ9,"under")</f>
        <v/>
      </c>
      <c r="AK11" s="195">
        <f>AK10+1</f>
        <v/>
      </c>
      <c r="AL11" s="206">
        <f>POISSON(AK11,$C$6,FALSE)</f>
        <v/>
      </c>
      <c r="AM11" s="207">
        <f>$AM$5*AL11</f>
        <v/>
      </c>
      <c r="AN11" s="192">
        <f>$AN$5*AL11</f>
        <v/>
      </c>
      <c r="AO11" s="192">
        <f>$AO$5*AL11</f>
        <v/>
      </c>
      <c r="AP11" s="192">
        <f>$AP$5*AL11</f>
        <v/>
      </c>
      <c r="AQ11" s="192">
        <f>$AQ$5*AL11</f>
        <v/>
      </c>
      <c r="AR11" s="192">
        <f>$AR$5*AL11</f>
        <v/>
      </c>
      <c r="AS11" s="192" t="n"/>
      <c r="AT11" s="210" t="n"/>
      <c r="AU11" s="210" t="inlineStr">
        <is>
          <t xml:space="preserve">decision </t>
        </is>
      </c>
      <c r="AV11" s="210">
        <f>IF(AV6&gt;0.46,"u0.5",IF(AV7&gt;0.688,"U1.5",IF(AV8&gt;0.855,"u2.5",IF(AV9&gt;0.908,"U3.5",IF(AV10&gt;0.93,"u4.5","Run")))))</f>
        <v/>
      </c>
      <c r="AW11" s="210">
        <f>IF(AW10&gt;0.77,"O4.5",IF(AW9&gt;0.79,"O3.5",IF(AW8&gt;0.84,"O2.5",IF(AW7&gt;0.855,"O1.5",IF(AW6&gt;0.88,"O0.5","Run")))))</f>
        <v/>
      </c>
      <c r="AX11" s="204">
        <f>(AW9/$AX$16)*100</f>
        <v/>
      </c>
      <c r="AY11" s="0">
        <f>AX9-AT14</f>
        <v/>
      </c>
      <c r="AZ11" s="0">
        <f>IF(AY11&lt;0,1,0)</f>
        <v/>
      </c>
      <c r="BC11" s="201" t="n">
        <v>2</v>
      </c>
      <c r="BD11" s="202" t="inlineStr">
        <is>
          <t>:</t>
        </is>
      </c>
      <c r="BE11" s="203" t="n">
        <v>1</v>
      </c>
      <c r="BF11" s="192">
        <f>POISSON(BC11,$C$7,FALSE)*POISSON(BE11,$D$7,FALSE)*100</f>
        <v/>
      </c>
      <c r="BG11" s="204">
        <f>RANK(BF11,$BF$5:$BF$36,0)</f>
        <v/>
      </c>
      <c r="BH11" s="0">
        <f>IF(BH7="draw",1,IF(BH7="draw 1-1",1,IF(BH7="home",2,IF(BH7="home 2-1",2,IF(BH7="away",3,IF(BH7="away 1-2",3,IF(BH7="away 0-2",3,0)))))))</f>
        <v/>
      </c>
      <c r="BI11" s="0">
        <f>COUNTIF(BI6:BI9,"under")</f>
        <v/>
      </c>
      <c r="BJ11" s="195">
        <f>BJ10+1</f>
        <v/>
      </c>
      <c r="BK11" s="206">
        <f>POISSON(BJ11,$C$7,FALSE)</f>
        <v/>
      </c>
      <c r="BL11" s="207">
        <f>$BL$5*BK11</f>
        <v/>
      </c>
      <c r="BM11" s="192">
        <f>$BM$5*BK11</f>
        <v/>
      </c>
      <c r="BN11" s="192">
        <f>$BN$5*BK11</f>
        <v/>
      </c>
      <c r="BO11" s="192">
        <f>$BO$5*BK11</f>
        <v/>
      </c>
      <c r="BP11" s="192">
        <f>$BP$5*BK11</f>
        <v/>
      </c>
      <c r="BQ11" s="192">
        <f>$BQ$5*BK11</f>
        <v/>
      </c>
      <c r="BR11" s="192" t="n"/>
      <c r="BS11" s="210" t="n"/>
      <c r="BT11" s="210" t="inlineStr">
        <is>
          <t xml:space="preserve">decision </t>
        </is>
      </c>
      <c r="BU11" s="210">
        <f>IF(BU6&gt;0.46,"u0.5",IF(BU7&gt;0.688,"U1.5",IF(BU8&gt;0.855,"u2.5",IF(BU9&gt;0.908,"U3.5",IF(BU10&gt;0.93,"u4.5","Run")))))</f>
        <v/>
      </c>
      <c r="BV11" s="210">
        <f>IF(BV10&gt;0.77,"O4.5",IF(BV9&gt;0.79,"O3.5",IF(BV8&gt;0.84,"O2.5",IF(BV7&gt;0.855,"O1.5",IF(BV6&gt;0.88,"O0.5","Run")))))</f>
        <v/>
      </c>
      <c r="BW11" s="204" t="n"/>
      <c r="CB11" s="201" t="n">
        <v>2</v>
      </c>
      <c r="CC11" s="202" t="inlineStr">
        <is>
          <t>:</t>
        </is>
      </c>
      <c r="CD11" s="203" t="n">
        <v>1</v>
      </c>
      <c r="CE11" s="192">
        <f>POISSON(CB11,$C$8,FALSE)*POISSON(CD11,$D$8,FALSE)*100</f>
        <v/>
      </c>
      <c r="CF11" s="204">
        <f>RANK(CE11,$CE$5:$CE$36,0)</f>
        <v/>
      </c>
      <c r="CG11" s="0">
        <f>IF(CG7="draw",1,IF(CG7="draw 1-1",1,IF(CG7="home",2,IF(CG7="home 2-1",2,IF(CG7="away",3,IF(CG7="away 1-2",3,IF(CG7="away 0-2",3,0)))))))</f>
        <v/>
      </c>
      <c r="CH11" s="0">
        <f>COUNTIF(CH6:CH9,"under")</f>
        <v/>
      </c>
      <c r="CI11" s="195">
        <f>CI10+1</f>
        <v/>
      </c>
      <c r="CJ11" s="206">
        <f>POISSON(CI11,$C$8,FALSE)</f>
        <v/>
      </c>
      <c r="CK11" s="207">
        <f>$CK$5*CJ11</f>
        <v/>
      </c>
      <c r="CL11" s="192">
        <f>$CL$5*CJ11</f>
        <v/>
      </c>
      <c r="CM11" s="192">
        <f>$CM$5*CJ11</f>
        <v/>
      </c>
      <c r="CN11" s="192">
        <f>$CN$5*CJ11</f>
        <v/>
      </c>
      <c r="CO11" s="192">
        <f>$CO$5*CJ11</f>
        <v/>
      </c>
      <c r="CP11" s="192">
        <f>$CP$5*CJ11</f>
        <v/>
      </c>
      <c r="CQ11" s="192" t="n"/>
      <c r="CR11" s="210" t="n"/>
      <c r="CS11" s="210" t="inlineStr">
        <is>
          <t xml:space="preserve">decision </t>
        </is>
      </c>
      <c r="CT11" s="210">
        <f>IF(CT6&gt;0.46,"u0.5",IF(CT7&gt;0.688,"U1.5",IF(CT8&gt;0.855,"u2.5",IF(CT9&gt;0.908,"U3.5",IF(CT10&gt;0.93,"u4.5","Run")))))</f>
        <v/>
      </c>
      <c r="CU11" s="210">
        <f>IF(CU10&gt;0.77,"O4.5",IF(CU9&gt;0.79,"O3.5",IF(CU8&gt;0.84,"O2.5",IF(CU7&gt;0.855,"O1.5",IF(CU6&gt;0.88,"O0.5","Run")))))</f>
        <v/>
      </c>
      <c r="CV11" s="204" t="n"/>
      <c r="DA11" s="201" t="n">
        <v>2</v>
      </c>
      <c r="DB11" s="202" t="inlineStr">
        <is>
          <t>:</t>
        </is>
      </c>
      <c r="DC11" s="203" t="n">
        <v>1</v>
      </c>
      <c r="DD11" s="192">
        <f>POISSON(DA11,$C$9,FALSE)*POISSON(DC11,$D$9,FALSE)*100</f>
        <v/>
      </c>
      <c r="DE11" s="204">
        <f>RANK(DD11,$DD$5:$DD$36,0)</f>
        <v/>
      </c>
      <c r="DF11" s="0">
        <f>IF(DF7="draw",1,IF(DF7="draw 1-1",1,IF(DF7="home",2,IF(DF7="home 2-1",2,IF(DF7="away",3,IF(DF7="away 1-2",3,IF(DF7="away 0-2",3,0)))))))</f>
        <v/>
      </c>
      <c r="DG11" s="0">
        <f>COUNTIF(DG6:DG9,"under")</f>
        <v/>
      </c>
      <c r="DH11" s="195">
        <f>DH10+1</f>
        <v/>
      </c>
      <c r="DI11" s="206">
        <f>POISSON(DH11,$C$9,FALSE)</f>
        <v/>
      </c>
      <c r="DJ11" s="207">
        <f>$DJ$5*DI11</f>
        <v/>
      </c>
      <c r="DK11" s="192">
        <f>$DK$5*DI11</f>
        <v/>
      </c>
      <c r="DL11" s="192">
        <f>$DL$5*DI11</f>
        <v/>
      </c>
      <c r="DM11" s="192">
        <f>$DM$5*DI11</f>
        <v/>
      </c>
      <c r="DN11" s="192">
        <f>$DN$5*DI11</f>
        <v/>
      </c>
      <c r="DO11" s="192">
        <f>$DO$5*DI11</f>
        <v/>
      </c>
      <c r="DP11" s="192" t="n"/>
      <c r="DQ11" s="210" t="n"/>
      <c r="DR11" s="210" t="inlineStr">
        <is>
          <t xml:space="preserve">decision </t>
        </is>
      </c>
      <c r="DS11" s="210">
        <f>IF(DS6&gt;0.46,"u0.5",IF(DS7&gt;0.688,"U1.5",IF(DS8&gt;0.855,"u2.5",IF(DS9&gt;0.908,"U3.5",IF(DS10&gt;0.93,"u4.5","Run")))))</f>
        <v/>
      </c>
      <c r="DT11" s="210">
        <f>IF(DT10&gt;0.77,"O4.5",IF(DT9&gt;0.79,"O3.5",IF(DT8&gt;0.84,"O2.5",IF(DT7&gt;0.855,"O1.5",IF(DT6&gt;0.88,"O0.5","Run")))))</f>
        <v/>
      </c>
      <c r="DU11" s="204" t="n"/>
    </row>
    <row r="12" ht="15" customHeight="1" s="276">
      <c r="E12" s="201" t="n">
        <v>1</v>
      </c>
      <c r="F12" s="202" t="inlineStr">
        <is>
          <t>:</t>
        </is>
      </c>
      <c r="G12" s="203" t="n">
        <v>3</v>
      </c>
      <c r="H12" s="192">
        <f>POISSON(E12,$C$5,FALSE)*POISSON(G12,$D$5,FALSE)*100</f>
        <v/>
      </c>
      <c r="I12" s="204">
        <f>RANK(H12,$H$5:$H$36,0)</f>
        <v/>
      </c>
      <c r="J12" s="0">
        <f>IF(J8="draw",1,IF(J8="draw 1-1",1,IF(J8="home",2,IF(J8="home 2-1",2,IF(J8="away",3,IF(J8="away 1-2",3,IF(J8="away 0-2",3,0)))))))</f>
        <v/>
      </c>
      <c r="K12" s="0">
        <f>COUNTIF(K6:K9,"0")</f>
        <v/>
      </c>
      <c r="L12" s="195" t="n"/>
      <c r="M12" s="192">
        <f>IF(N12&gt;0.9,"waw1",IF(N12&gt;0.85,"waw",IF(N12&gt;0.74,"high",IF(N12&gt;0.64,"medium",IF(N12&gt;0.54,"low",IF(N12&lt;0,"win","off"))))))</f>
        <v/>
      </c>
      <c r="N12" s="192">
        <f>CORREL(N6:S11,N44:S49)</f>
        <v/>
      </c>
      <c r="O12" s="192">
        <f>IF(AND(M12="waw1",M13&gt;0.8,OR(H39="high1",H39="high"),N13&gt;0.489),"all met",IF(AND(M12="high",M13&gt;0.8,N13&gt;0.49,OR(H39="high",H39="high1")),"met","check"))</f>
        <v/>
      </c>
      <c r="P12" s="192">
        <f>SUM(N6:S11)</f>
        <v/>
      </c>
      <c r="Q12" s="192">
        <f>SUM(N8:O11,N7,P9,P10,P11,Q10,Q11,R11)*100</f>
        <v/>
      </c>
      <c r="R12" s="192" t="n"/>
      <c r="S12" s="192" t="n"/>
      <c r="T12" s="192">
        <f>SUM(N6,O7,P8,Q9,R10,S11)*100</f>
        <v/>
      </c>
      <c r="U12" s="192" t="n"/>
      <c r="V12" s="192" t="n"/>
      <c r="W12" s="192" t="inlineStr">
        <is>
          <t>YES</t>
        </is>
      </c>
      <c r="X12" s="192" t="inlineStr">
        <is>
          <t>NO</t>
        </is>
      </c>
      <c r="Y12" s="204">
        <f>(X10/$Y$16)*100</f>
        <v/>
      </c>
      <c r="Z12" s="0">
        <f>Y10-U15</f>
        <v/>
      </c>
      <c r="AA12" s="0">
        <f>IF(Z12&lt;0,1,0)</f>
        <v/>
      </c>
      <c r="AD12" s="201" t="n">
        <v>1</v>
      </c>
      <c r="AE12" s="202">
        <f>AD12+AF12</f>
        <v/>
      </c>
      <c r="AF12" s="203" t="n">
        <v>3</v>
      </c>
      <c r="AG12" s="192">
        <f>POISSON(AD12,$C$6,FALSE)*POISSON(AF12,$D$6,FALSE)*100</f>
        <v/>
      </c>
      <c r="AH12" s="204">
        <f>RANK(AG12,$AG$5:$AG$36,0)</f>
        <v/>
      </c>
      <c r="AI12" s="0">
        <f>IF(AI8="draw",1,IF(AI8="draw 1-1",1,IF(AI8="home",2,IF(AI8="home 2-1",2,IF(AI8="away",3,IF(AI8="away 1-2",3,IF(AI8="away 0-2",3,0)))))))</f>
        <v/>
      </c>
      <c r="AJ12" s="0">
        <f>COUNTIF(AJ6:AJ9,"0")</f>
        <v/>
      </c>
      <c r="AK12" s="195" t="n"/>
      <c r="AL12" s="192">
        <f>IF(AM12&gt;0.9,"waw1",IF(AM12&gt;0.85,"waw",IF(AM12&gt;0.74,"high",IF(AM12&gt;0.64,"medium",IF(AM12&gt;0.54,"low",IF(AM12&lt;0,"win","off"))))))</f>
        <v/>
      </c>
      <c r="AM12" s="192">
        <f>CORREL(AM6:AR11,AM44:AR49)</f>
        <v/>
      </c>
      <c r="AN12" s="192">
        <f>IF(AND(AL12="waw1",AL13&gt;0.8,OR(AG39="high1",AG39="high"),AM13&gt;0.489),"all met",IF(AND(AL12="high",AL13&gt;0.8,AM13&gt;0.49,OR(AG39="high",AG39="high1")),"met","check"))</f>
        <v/>
      </c>
      <c r="AO12" s="192" t="n"/>
      <c r="AP12" s="192">
        <f>SUM(AM8:AN11,AM7,AO9,AO10,AO11,AP10,AP11,AQ11)*100</f>
        <v/>
      </c>
      <c r="AQ12" s="192" t="n"/>
      <c r="AR12" s="192" t="n"/>
      <c r="AS12" s="192">
        <f>SUM(AM6,AN7,AO8,AP9,AQ10,AR11)*100</f>
        <v/>
      </c>
      <c r="AT12" s="192" t="n"/>
      <c r="AU12" s="192" t="n"/>
      <c r="AV12" s="192" t="inlineStr">
        <is>
          <t>YES</t>
        </is>
      </c>
      <c r="AW12" s="192" t="inlineStr">
        <is>
          <t>NO</t>
        </is>
      </c>
      <c r="AX12" s="204">
        <f>(AW10/$AX$16)*100</f>
        <v/>
      </c>
      <c r="AY12" s="0">
        <f>AX10-AT15</f>
        <v/>
      </c>
      <c r="AZ12" s="0">
        <f>IF(AY12&lt;0,1,0)</f>
        <v/>
      </c>
      <c r="BC12" s="201" t="n">
        <v>1</v>
      </c>
      <c r="BD12" s="202" t="inlineStr">
        <is>
          <t>:</t>
        </is>
      </c>
      <c r="BE12" s="203" t="n">
        <v>3</v>
      </c>
      <c r="BF12" s="192">
        <f>POISSON(BC12,$C$7,FALSE)*POISSON(BE12,$D$7,FALSE)*100</f>
        <v/>
      </c>
      <c r="BG12" s="204">
        <f>RANK(BF12,$BF$5:$BF$36,0)</f>
        <v/>
      </c>
      <c r="BH12" s="0">
        <f>IF(BH8="draw",1,IF(BH8="draw 1-1",1,IF(BH8="home",2,IF(BH8="home 2-1",2,IF(BH8="away",3,IF(BH8="away 1-2",3,IF(BH8="away 0-2",3,0)))))))</f>
        <v/>
      </c>
      <c r="BI12" s="0">
        <f>COUNTIF(BI6:BI9,"0")</f>
        <v/>
      </c>
      <c r="BJ12" s="195" t="n"/>
      <c r="BK12" s="192">
        <f>IF(BL12&gt;0.9,"waw1",IF(BL12&gt;0.85,"waw",IF(BL12&gt;0.74,"high",IF(BL12&gt;0.64,"medium",IF(BL12&gt;0.54,"low",IF(BL12&lt;0,"win","off"))))))</f>
        <v/>
      </c>
      <c r="BL12" s="192">
        <f>CORREL(BL6:BQ11,BL44:BQ49)</f>
        <v/>
      </c>
      <c r="BM12" s="192">
        <f>IF(AND(BK12="waw1",BK13&gt;0.8,OR(BF39="high1",BF39="high"),BL13&gt;0.489),"all met",IF(AND(BK12="high",BK13&gt;0.8,BL13&gt;0.49,OR(BF39="high",BF39="high1")),"met","check"))</f>
        <v/>
      </c>
      <c r="BN12" s="192" t="n"/>
      <c r="BO12" s="192">
        <f>SUM(BL8:BM11,BL7,BN9,BN10,BN11,BO10,BO11,BP11)*100</f>
        <v/>
      </c>
      <c r="BP12" s="192" t="n"/>
      <c r="BQ12" s="192" t="n"/>
      <c r="BR12" s="192">
        <f>SUM(BL6,BM7,BN8,BO9,BP10,BQ11)*100</f>
        <v/>
      </c>
      <c r="BS12" s="192" t="n"/>
      <c r="BT12" s="192" t="n"/>
      <c r="BU12" s="192" t="inlineStr">
        <is>
          <t>YES</t>
        </is>
      </c>
      <c r="BV12" s="192" t="inlineStr">
        <is>
          <t>NO</t>
        </is>
      </c>
      <c r="BW12" s="204" t="n"/>
      <c r="CB12" s="201" t="n">
        <v>1</v>
      </c>
      <c r="CC12" s="202" t="inlineStr">
        <is>
          <t>:</t>
        </is>
      </c>
      <c r="CD12" s="203" t="n">
        <v>3</v>
      </c>
      <c r="CE12" s="192">
        <f>POISSON(CB12,$C$8,FALSE)*POISSON(CD12,$D$8,FALSE)*100</f>
        <v/>
      </c>
      <c r="CF12" s="204">
        <f>RANK(CE12,$CE$5:$CE$36,0)</f>
        <v/>
      </c>
      <c r="CG12" s="0">
        <f>IF(CG8="draw",1,IF(CG8="draw 1-1",1,IF(CG8="home",2,IF(CG8="home 2-1",2,IF(CG8="away",3,IF(CG8="away 1-2",3,IF(CG8="away 0-2",3,0)))))))</f>
        <v/>
      </c>
      <c r="CH12" s="0">
        <f>COUNTIF(CH6:CH9,"0")</f>
        <v/>
      </c>
      <c r="CI12" s="195" t="n"/>
      <c r="CJ12" s="192">
        <f>IF(CK12&gt;0.9,"waw1",IF(CK12&gt;0.85,"waw",IF(CK12&gt;0.74,"high",IF(CK12&gt;0.64,"medium",IF(CK12&gt;0.54,"low",IF(CK12&lt;0,"win","off"))))))</f>
        <v/>
      </c>
      <c r="CK12" s="192">
        <f>CORREL(CK6:CP11,CK44:CP49)</f>
        <v/>
      </c>
      <c r="CL12" s="192">
        <f>IF(AND(CJ12="waw1",CJ13&gt;0.8,OR(CE39="high1",CE39="high"),CK13&gt;0.489),"all met",IF(AND(CJ12="high",CJ13&gt;0.8,CK13&gt;0.49,OR(CE39="high",CE39="high1")),"met","check"))</f>
        <v/>
      </c>
      <c r="CM12" s="192" t="n"/>
      <c r="CN12" s="192">
        <f>SUM(CK8:CL11,CK7,CM9,CM10,CM11,CN10,CN11,CO11)*100</f>
        <v/>
      </c>
      <c r="CO12" s="192" t="n"/>
      <c r="CP12" s="192" t="n"/>
      <c r="CQ12" s="192">
        <f>SUM(CK6,CL7,CM8,CN9,CO10,CP11)*100</f>
        <v/>
      </c>
      <c r="CR12" s="192" t="n"/>
      <c r="CS12" s="192" t="n"/>
      <c r="CT12" s="192" t="inlineStr">
        <is>
          <t>YES</t>
        </is>
      </c>
      <c r="CU12" s="192" t="inlineStr">
        <is>
          <t>NO</t>
        </is>
      </c>
      <c r="CV12" s="204" t="n"/>
      <c r="DA12" s="201" t="n">
        <v>1</v>
      </c>
      <c r="DB12" s="202" t="inlineStr">
        <is>
          <t>:</t>
        </is>
      </c>
      <c r="DC12" s="203" t="n">
        <v>3</v>
      </c>
      <c r="DD12" s="192">
        <f>POISSON(DA12,$C$9,FALSE)*POISSON(DC12,$D$9,FALSE)*100</f>
        <v/>
      </c>
      <c r="DE12" s="204">
        <f>RANK(DD12,$DD$5:$DD$36,0)</f>
        <v/>
      </c>
      <c r="DF12" s="0">
        <f>IF(DF8="draw",1,IF(DF8="draw 1-1",1,IF(DF8="home",2,IF(DF8="home 2-1",2,IF(DF8="away",3,IF(DF8="away 1-2",3,IF(DF8="away 0-2",3,0)))))))</f>
        <v/>
      </c>
      <c r="DG12" s="0">
        <f>COUNTIF(DG6:DG9,"0")</f>
        <v/>
      </c>
      <c r="DH12" s="195" t="n"/>
      <c r="DI12" s="192">
        <f>IF(DJ12&gt;0.9,"waw1",IF(DJ12&gt;0.85,"waw",IF(DJ12&gt;0.74,"high",IF(DJ12&gt;0.64,"medium",IF(DJ12&gt;0.54,"low",IF(DJ12&lt;0,"win","off"))))))</f>
        <v/>
      </c>
      <c r="DJ12" s="192">
        <f>CORREL(DJ6:DO11,DJ44:DO49)</f>
        <v/>
      </c>
      <c r="DK12" s="192">
        <f>IF(AND(DI12="waw1",DI13&gt;0.8,OR(DD39="high1",DD39="high"),DJ13&gt;0.489),"all met",IF(AND(DI12="high",DI13&gt;0.8,DJ13&gt;0.49,OR(DD39="high",DD39="high1")),"met","check"))</f>
        <v/>
      </c>
      <c r="DL12" s="192" t="n"/>
      <c r="DM12" s="192">
        <f>SUM(DJ8:DK11,DJ7,DL9,DL10,DL11,DM10,DM11,DN11)*100</f>
        <v/>
      </c>
      <c r="DN12" s="192" t="n"/>
      <c r="DO12" s="192" t="n"/>
      <c r="DP12" s="192">
        <f>SUM(DJ6,DK7,DL8,DM9,DN10,DO11)*100</f>
        <v/>
      </c>
      <c r="DQ12" s="192" t="n"/>
      <c r="DR12" s="192" t="n"/>
      <c r="DS12" s="192" t="inlineStr">
        <is>
          <t>YES</t>
        </is>
      </c>
      <c r="DT12" s="192" t="inlineStr">
        <is>
          <t>NO</t>
        </is>
      </c>
      <c r="DU12" s="204" t="n"/>
    </row>
    <row r="13" ht="15.1" customHeight="1" s="276">
      <c r="C13" s="0" t="inlineStr">
        <is>
          <t xml:space="preserve">home </t>
        </is>
      </c>
      <c r="D13" s="0" t="inlineStr">
        <is>
          <t xml:space="preserve">away </t>
        </is>
      </c>
      <c r="E13" s="201" t="n">
        <v>2</v>
      </c>
      <c r="F13" s="202" t="inlineStr">
        <is>
          <t>:</t>
        </is>
      </c>
      <c r="G13" s="203" t="n">
        <v>2</v>
      </c>
      <c r="H13" s="192">
        <f>POISSON(E13,$C$5,FALSE)*POISSON(G13,$D$5,FALSE)*100</f>
        <v/>
      </c>
      <c r="I13" s="204">
        <f>RANK(H13,$H$5:$H$36,0)</f>
        <v/>
      </c>
      <c r="J13" s="0">
        <f>IF(J9="draw",1,IF(J9="draw 1-1",1,IF(J9="home",2,IF(J9="home 2-1",2,IF(J9="away",3,IF(J9="away 1-2",3,IF(J9="away 0-2",3,0)))))))</f>
        <v/>
      </c>
      <c r="K13" s="0">
        <f>COUNTIF(K6:K9,"rt")</f>
        <v/>
      </c>
      <c r="L13" s="195" t="n"/>
      <c r="M13" s="192">
        <f>CORREL(M6:M11,N5:S5)</f>
        <v/>
      </c>
      <c r="N13" s="192">
        <f>TTEST(N6:S11,N44:S49,1,2)</f>
        <v/>
      </c>
      <c r="O13" s="192">
        <f>ABS(M13-N12)</f>
        <v/>
      </c>
      <c r="P13" s="192" t="inlineStr">
        <is>
          <t xml:space="preserve">decision </t>
        </is>
      </c>
      <c r="Q13" s="192">
        <f>IF(Q12&gt;75,"1",IF(Q12&gt;54,"1X",IF(Q12&gt;49,"Hadicap 2H",IF(T6&gt;75,"2",IF(T6&gt;54,"X2",IF(T6&gt;49,"Handiap 2A",IF(T12&gt;75,"X",IF(T12&gt;60,"likely X",IF(T12&lt;13,"12","don’t choose")))))))))</f>
        <v/>
      </c>
      <c r="R13" s="192">
        <f>IF(AND(Q13="don’t choose",Q51="don’t choose"),"+1","")</f>
        <v/>
      </c>
      <c r="S13" s="192" t="n"/>
      <c r="T13" s="192" t="n"/>
      <c r="U13" s="192">
        <f>(W6/$Y$16)*100</f>
        <v/>
      </c>
      <c r="V13" s="212" t="inlineStr">
        <is>
          <t>BTS</t>
        </is>
      </c>
      <c r="W13" s="212">
        <f>SUM(O7:S11)</f>
        <v/>
      </c>
      <c r="X13" s="212">
        <f>SUM(N6:S6,N7:N11)</f>
        <v/>
      </c>
      <c r="Y13" s="204" t="n"/>
      <c r="Z13" s="0">
        <f>Y11-U16</f>
        <v/>
      </c>
      <c r="AA13" s="0">
        <f>IF(Z13&lt;0,1,0)</f>
        <v/>
      </c>
      <c r="AD13" s="201" t="n">
        <v>2</v>
      </c>
      <c r="AE13" s="202">
        <f>AD13+AF13</f>
        <v/>
      </c>
      <c r="AF13" s="203" t="n">
        <v>2</v>
      </c>
      <c r="AG13" s="192">
        <f>POISSON(AD13,$C$6,FALSE)*POISSON(AF13,$D$6,FALSE)*100</f>
        <v/>
      </c>
      <c r="AH13" s="204">
        <f>RANK(AG13,$AG$5:$AG$36,0)</f>
        <v/>
      </c>
      <c r="AI13" s="0">
        <f>IF(AI9="draw",1,IF(AI9="draw 1-1",1,IF(AI9="home",2,IF(AI9="home 2-1",2,IF(AI9="away",3,IF(AI9="away 1-2",3,IF(AI9="away 0-2",3,0)))))))</f>
        <v/>
      </c>
      <c r="AJ13" s="0">
        <f>COUNTIF(AJ6:AJ9,"rt")</f>
        <v/>
      </c>
      <c r="AK13" s="195" t="n"/>
      <c r="AL13" s="192">
        <f>CORREL(AL6:AL11,AM5:AR5)</f>
        <v/>
      </c>
      <c r="AM13" s="192">
        <f>TTEST(AM6:AR11,AM44:AR49,1,2)</f>
        <v/>
      </c>
      <c r="AN13" s="192">
        <f>ABS(AL13-AM12)</f>
        <v/>
      </c>
      <c r="AO13" s="192" t="inlineStr">
        <is>
          <t xml:space="preserve">decision </t>
        </is>
      </c>
      <c r="AP13" s="192">
        <f>IF(AP12&gt;75,"1",IF(AP12&gt;54,"1X",IF(AP12&gt;49,"Hadicap 2H",IF(AS6&gt;75,"2",IF(AS6&gt;54,"X2",IF(AS6&gt;49,"Handiap 2A",IF(AS12&gt;75,"X",IF(AS12&gt;60,"likely X",IF(AS12&lt;13,"12","don’t choose")))))))))</f>
        <v/>
      </c>
      <c r="AQ13" s="192" t="n"/>
      <c r="AR13" s="192" t="n"/>
      <c r="AS13" s="192" t="n"/>
      <c r="AT13" s="192">
        <f>(AV6/$AX$16)*100</f>
        <v/>
      </c>
      <c r="AU13" s="212" t="inlineStr">
        <is>
          <t>BTS</t>
        </is>
      </c>
      <c r="AV13" s="212">
        <f>SUM(AN7:AR11)</f>
        <v/>
      </c>
      <c r="AW13" s="212">
        <f>SUM(AM6:AR6,AM7:AM11)</f>
        <v/>
      </c>
      <c r="AX13" s="204" t="n"/>
      <c r="AY13" s="0">
        <f>AX11-AT16</f>
        <v/>
      </c>
      <c r="AZ13" s="0">
        <f>IF(AY13&lt;0,1,0)</f>
        <v/>
      </c>
      <c r="BC13" s="201" t="n">
        <v>2</v>
      </c>
      <c r="BD13" s="202" t="inlineStr">
        <is>
          <t>:</t>
        </is>
      </c>
      <c r="BE13" s="203" t="n">
        <v>2</v>
      </c>
      <c r="BF13" s="192">
        <f>POISSON(BC13,$C$7,FALSE)*POISSON(BE13,$D$7,FALSE)*100</f>
        <v/>
      </c>
      <c r="BG13" s="204">
        <f>RANK(BF13,$BF$5:$BF$36,0)</f>
        <v/>
      </c>
      <c r="BH13" s="0">
        <f>IF(BH9="draw",1,IF(BH9="draw 1-1",1,IF(BH9="home",2,IF(BH9="home 2-1",2,IF(BH9="away",3,IF(BH9="away 1-2",3,IF(BH9="away 0-2",3,0)))))))</f>
        <v/>
      </c>
      <c r="BI13" s="0">
        <f>COUNTIF(BI6:BI9,"rt")</f>
        <v/>
      </c>
      <c r="BJ13" s="195" t="n"/>
      <c r="BK13" s="192">
        <f>CORREL(BK6:BK11,BL5:BQ5)</f>
        <v/>
      </c>
      <c r="BL13" s="192">
        <f>TTEST(BL6:BQ11,BL44:BQ49,1,2)</f>
        <v/>
      </c>
      <c r="BM13" s="192">
        <f>ABS(BK13-BL12)</f>
        <v/>
      </c>
      <c r="BN13" s="192" t="inlineStr">
        <is>
          <t xml:space="preserve">decision </t>
        </is>
      </c>
      <c r="BO13" s="192">
        <f>IF(BO12&gt;75,"1",IF(BO12&gt;54,"1X",IF(BO12&gt;49,"Hadicap 2H",IF(BR6&gt;75,"2",IF(BR6&gt;54,"X2",IF(BR6&gt;49,"Handiap 2A",IF(BR12&gt;75,"X",IF(BR12&gt;60,"likely X",IF(BR12&lt;13,"12","don’t choose")))))))))</f>
        <v/>
      </c>
      <c r="BP13" s="192" t="n"/>
      <c r="BQ13" s="192" t="n"/>
      <c r="BR13" s="192" t="n"/>
      <c r="BS13" s="192" t="n"/>
      <c r="BT13" s="212" t="inlineStr">
        <is>
          <t>BTS</t>
        </is>
      </c>
      <c r="BU13" s="212">
        <f>SUM(BM7:BQ11)</f>
        <v/>
      </c>
      <c r="BV13" s="212">
        <f>SUM(BL6:BQ6,BL7:BL11)</f>
        <v/>
      </c>
      <c r="BW13" s="204" t="n"/>
      <c r="CB13" s="201" t="n">
        <v>2</v>
      </c>
      <c r="CC13" s="202" t="inlineStr">
        <is>
          <t>:</t>
        </is>
      </c>
      <c r="CD13" s="203" t="n">
        <v>2</v>
      </c>
      <c r="CE13" s="192">
        <f>POISSON(CB13,$C$8,FALSE)*POISSON(CD13,$D$8,FALSE)*100</f>
        <v/>
      </c>
      <c r="CF13" s="204">
        <f>RANK(CE13,$CE$5:$CE$36,0)</f>
        <v/>
      </c>
      <c r="CG13" s="0">
        <f>IF(CG9="draw",1,IF(CG9="draw 1-1",1,IF(CG9="home",2,IF(CG9="home 2-1",2,IF(CG9="away",3,IF(CG9="away 1-2",3,IF(CG9="away 0-2",3,0)))))))</f>
        <v/>
      </c>
      <c r="CH13" s="0">
        <f>COUNTIF(CH6:CH9,"rt")</f>
        <v/>
      </c>
      <c r="CI13" s="195" t="n"/>
      <c r="CJ13" s="192" t="n">
        <v>0.8579410870273223</v>
      </c>
      <c r="CK13" s="192">
        <f>TTEST(CK6:CP11,CK44:CP49,1,2)</f>
        <v/>
      </c>
      <c r="CL13" s="192">
        <f>ABS(CJ13-CK12)</f>
        <v/>
      </c>
      <c r="CM13" s="192" t="inlineStr">
        <is>
          <t xml:space="preserve">decision </t>
        </is>
      </c>
      <c r="CN13" s="192">
        <f>IF(CN12&gt;75,"1",IF(CN12&gt;54,"1X",IF(CN12&gt;49,"Hadicap 2H",IF(CQ6&gt;75,"2",IF(CQ6&gt;54,"X2",IF(CQ6&gt;49,"Handiap 2A",IF(CQ12&gt;75,"X",IF(CQ12&gt;60,"likely X",IF(CQ12&lt;13,"12","don’t choose")))))))))</f>
        <v/>
      </c>
      <c r="CO13" s="192" t="n"/>
      <c r="CP13" s="192" t="n"/>
      <c r="CQ13" s="192" t="n"/>
      <c r="CR13" s="192" t="n"/>
      <c r="CS13" s="212" t="inlineStr">
        <is>
          <t>BTS</t>
        </is>
      </c>
      <c r="CT13" s="212">
        <f>SUM(CL7:CP11)</f>
        <v/>
      </c>
      <c r="CU13" s="212">
        <f>SUM(CK6:CP6,CK7:CK11)</f>
        <v/>
      </c>
      <c r="CV13" s="204" t="n"/>
      <c r="DA13" s="201" t="n">
        <v>2</v>
      </c>
      <c r="DB13" s="202" t="inlineStr">
        <is>
          <t>:</t>
        </is>
      </c>
      <c r="DC13" s="203" t="n">
        <v>2</v>
      </c>
      <c r="DD13" s="192">
        <f>POISSON(DA13,$C$9,FALSE)*POISSON(DC13,$D$9,FALSE)*100</f>
        <v/>
      </c>
      <c r="DE13" s="204">
        <f>RANK(DD13,$DD$5:$DD$36,0)</f>
        <v/>
      </c>
      <c r="DF13" s="0">
        <f>IF(DF9="draw",1,IF(DF9="draw 1-1",1,IF(DF9="home",2,IF(DF9="home 2-1",2,IF(DF9="away",3,IF(DF9="away 1-2",3,IF(DF9="away 0-2",3,0)))))))</f>
        <v/>
      </c>
      <c r="DG13" s="0">
        <f>COUNTIF(DG6:DG9,"rt")</f>
        <v/>
      </c>
      <c r="DH13" s="195" t="n"/>
      <c r="DI13" s="192" t="n"/>
      <c r="DJ13" s="192">
        <f>TTEST(DJ6:DO11,DJ44:DO49,1,2)</f>
        <v/>
      </c>
      <c r="DK13" s="192">
        <f>ABS(DI13-DJ12)</f>
        <v/>
      </c>
      <c r="DL13" s="192" t="inlineStr">
        <is>
          <t xml:space="preserve">decision </t>
        </is>
      </c>
      <c r="DM13" s="192">
        <f>IF(DM12&gt;75,"1",IF(DM12&gt;54,"1X",IF(DM12&gt;49,"Hadicap 2H",IF(DP6&gt;75,"2",IF(DP6&gt;54,"X2",IF(DP6&gt;49,"Handiap 2A",IF(DP12&gt;75,"X",IF(DP12&gt;60,"likely X",IF(DP12&lt;13,"12","don’t choose")))))))))</f>
        <v/>
      </c>
      <c r="DN13" s="192" t="n"/>
      <c r="DO13" s="192" t="n"/>
      <c r="DP13" s="192" t="n"/>
      <c r="DQ13" s="192" t="n"/>
      <c r="DR13" s="212" t="inlineStr">
        <is>
          <t>BTS</t>
        </is>
      </c>
      <c r="DS13" s="212">
        <f>SUM(DK7:DO11)</f>
        <v/>
      </c>
      <c r="DT13" s="212">
        <f>SUM(DJ6:DO6,DJ7:DJ11)</f>
        <v/>
      </c>
      <c r="DU13" s="204" t="n"/>
    </row>
    <row r="14" ht="15" customHeight="1" s="276">
      <c r="C14" s="0">
        <f>Sheet1!G59</f>
        <v/>
      </c>
      <c r="D14" s="0">
        <f>Sheet1!F59</f>
        <v/>
      </c>
      <c r="E14" s="201" t="n">
        <v>3</v>
      </c>
      <c r="F14" s="202" t="inlineStr">
        <is>
          <t>:</t>
        </is>
      </c>
      <c r="G14" s="213" t="n">
        <v>1</v>
      </c>
      <c r="H14" s="192">
        <f>POISSON(E14,$C$5,FALSE)*POISSON(G14,$D$5,FALSE)*100</f>
        <v/>
      </c>
      <c r="I14" s="204">
        <f>RANK(H14,$H$5:$H$36,0)</f>
        <v/>
      </c>
      <c r="J14" s="0">
        <f>SUM(J10:J13)</f>
        <v/>
      </c>
      <c r="K14" s="0">
        <f>IF(K13&gt;0,"Rt",IF(K10&gt;3,"u2.5",IF(AND(K10&gt;2,K11&gt;0),"u2.5",IF(AND(K11&gt;K10,K11&gt;K12),"u3.5",IF(AND(K12&gt;K11,K12&gt;K10),"o2.5","u4.5")))))</f>
        <v/>
      </c>
      <c r="L14" s="195">
        <f>Q12/M15</f>
        <v/>
      </c>
      <c r="M14" s="192">
        <f>T12/M15</f>
        <v/>
      </c>
      <c r="N14" s="192">
        <f>T6/M15</f>
        <v/>
      </c>
      <c r="O14" s="192">
        <f>IF(AND(O12="all met",O13&lt;0.7),"all met","not met")</f>
        <v/>
      </c>
      <c r="P14" s="192" t="n"/>
      <c r="Q14" s="192">
        <f>SUM(N6:N11,O7:O11,P8:P11,Q9:Q11,R10:R11,S11)</f>
        <v/>
      </c>
      <c r="R14" s="192">
        <f>SUM(S6:S11,R6:R10,Q6:Q9,P6:P8,O6:O7,N6)</f>
        <v/>
      </c>
      <c r="S14" s="192">
        <f>SUM(Q14,R14)</f>
        <v/>
      </c>
      <c r="T14" s="192" t="n"/>
      <c r="U14" s="192">
        <f>(W7/$Y$16)*100</f>
        <v/>
      </c>
      <c r="V14" s="212" t="inlineStr">
        <is>
          <t xml:space="preserve">decision </t>
        </is>
      </c>
      <c r="W14" s="212">
        <f>IF(X13&gt;0.8,"NO GG",IF(W13&gt;0.81,"GG","run"))</f>
        <v/>
      </c>
      <c r="X14" s="212" t="n"/>
      <c r="Y14" s="204" t="n"/>
      <c r="Z14" s="0">
        <f>Y12-U17</f>
        <v/>
      </c>
      <c r="AA14" s="0">
        <f>IF(Z14&lt;0,1,0)</f>
        <v/>
      </c>
      <c r="AD14" s="201" t="n">
        <v>3</v>
      </c>
      <c r="AE14" s="202">
        <f>AD14+AF14</f>
        <v/>
      </c>
      <c r="AF14" s="203" t="n">
        <v>1</v>
      </c>
      <c r="AG14" s="192">
        <f>POISSON(AD14,$C$6,FALSE)*POISSON(AF14,$D$6,FALSE)*100</f>
        <v/>
      </c>
      <c r="AH14" s="204">
        <f>RANK(AG14,$AG$5:$AG$36,0)</f>
        <v/>
      </c>
      <c r="AI14" s="0">
        <f>SUM(AI10:AI13)</f>
        <v/>
      </c>
      <c r="AJ14" s="0">
        <f>IF(AJ13&gt;0,"Rt",IF(AJ10&gt;3,"u2.5",IF(AND(AJ10&gt;2,AJ11&gt;0),"u2.5",IF(AND(AJ11&gt;AJ10,AJ11&gt;AJ12),"u3.5",IF(AND(AJ12&gt;AJ11,AJ12&gt;AJ10),"o2.5","u4.5")))))</f>
        <v/>
      </c>
      <c r="AK14" s="195">
        <f>AP12/AL15</f>
        <v/>
      </c>
      <c r="AL14" s="192">
        <f>AS12/AL15</f>
        <v/>
      </c>
      <c r="AM14" s="192">
        <f>AS6/AL15</f>
        <v/>
      </c>
      <c r="AN14" s="192">
        <f>IF(AND(AN12="all met",AN13&lt;0.7),"all met","not met")</f>
        <v/>
      </c>
      <c r="AO14" s="192" t="n"/>
      <c r="AP14" s="192">
        <f>SUM(AM6:AM11,AN7:AN11,AO8:AO11,AP9:AP11,AQ10:AQ11,AR11)</f>
        <v/>
      </c>
      <c r="AQ14" s="192">
        <f>SUM(AR6:AR11,AQ6:AQ10,AP6:AP9,AO6:AO8,AN6:AN7,AM6)</f>
        <v/>
      </c>
      <c r="AR14" s="192">
        <f>SUM(AP14,AQ14)</f>
        <v/>
      </c>
      <c r="AS14" s="192" t="n"/>
      <c r="AT14" s="192">
        <f>(AV7/$AX$16)*100</f>
        <v/>
      </c>
      <c r="AU14" s="212" t="inlineStr">
        <is>
          <t xml:space="preserve">decision </t>
        </is>
      </c>
      <c r="AV14" s="212">
        <f>IF(AW13&gt;0.8,"NO GG",IF(AV13&gt;0.81,"GG","run"))</f>
        <v/>
      </c>
      <c r="AW14" s="212" t="n"/>
      <c r="AX14" s="204" t="n"/>
      <c r="AY14" s="0">
        <f>AX12-AT17</f>
        <v/>
      </c>
      <c r="AZ14" s="0">
        <f>IF(AY14&lt;0,1,0)</f>
        <v/>
      </c>
      <c r="BC14" s="201" t="n">
        <v>3</v>
      </c>
      <c r="BD14" s="202" t="inlineStr">
        <is>
          <t>:</t>
        </is>
      </c>
      <c r="BE14" s="203" t="n">
        <v>1</v>
      </c>
      <c r="BF14" s="192">
        <f>POISSON(BC14,$C$7,FALSE)*POISSON(BE14,$D$7,FALSE)*100</f>
        <v/>
      </c>
      <c r="BG14" s="204">
        <f>RANK(BF14,$BF$5:$BF$36,0)</f>
        <v/>
      </c>
      <c r="BH14" s="0">
        <f>SUM(BH10:BH13)</f>
        <v/>
      </c>
      <c r="BI14" s="0">
        <f>IF(BI13&gt;0,"Rt",IF(BI10&gt;3,"u2.5",IF(AND(BI10&gt;2,BI11&gt;0),"u2.5",IF(AND(BI11&gt;BI10,BI11&gt;BI12),"u3.5",IF(AND(BI12&gt;BI11,BI12&gt;BI10),"o2.5","u4.5")))))</f>
        <v/>
      </c>
      <c r="BJ14" s="195">
        <f>BO12/BK15</f>
        <v/>
      </c>
      <c r="BK14" s="192">
        <f>BR12/BK15</f>
        <v/>
      </c>
      <c r="BL14" s="192">
        <f>BR6/BK15</f>
        <v/>
      </c>
      <c r="BM14" s="192">
        <f>IF(AND(BM12="all met",BM13&lt;0.7),"all met","not met")</f>
        <v/>
      </c>
      <c r="BN14" s="192" t="n"/>
      <c r="BO14" s="192">
        <f>SUM(BL6:BL11,BM7:BM11,BN8:BN11,BO9:BO11,BP10:BP11,BQ11)</f>
        <v/>
      </c>
      <c r="BP14" s="192">
        <f>SUM(BQ6:BQ11,BP6:BP10,BO6:BO9,BN6:BN8,BM6:BM7,BL6)</f>
        <v/>
      </c>
      <c r="BQ14" s="192">
        <f>SUM(BO14,BP14)</f>
        <v/>
      </c>
      <c r="BR14" s="192" t="n"/>
      <c r="BS14" s="192" t="n"/>
      <c r="BT14" s="212" t="inlineStr">
        <is>
          <t xml:space="preserve">decision </t>
        </is>
      </c>
      <c r="BU14" s="212">
        <f>IF(BV13&gt;0.8,"NO GG",IF(BU13&gt;0.81,"GG","run"))</f>
        <v/>
      </c>
      <c r="BV14" s="212" t="n"/>
      <c r="BW14" s="204" t="n"/>
      <c r="CB14" s="201" t="n">
        <v>3</v>
      </c>
      <c r="CC14" s="202" t="inlineStr">
        <is>
          <t>:</t>
        </is>
      </c>
      <c r="CD14" s="203" t="n">
        <v>1</v>
      </c>
      <c r="CE14" s="192">
        <f>POISSON(CB14,$C$8,FALSE)*POISSON(CD14,$D$8,FALSE)*100</f>
        <v/>
      </c>
      <c r="CF14" s="204">
        <f>RANK(CE14,$CE$5:$CE$36,0)</f>
        <v/>
      </c>
      <c r="CG14" s="0">
        <f>SUM(CG10:CG13)</f>
        <v/>
      </c>
      <c r="CH14" s="0">
        <f>IF(CH13&gt;0,"Rt",IF(CH10&gt;3,"u2.5",IF(AND(CH10&gt;2,CH11&gt;0),"u2.5",IF(AND(CH11&gt;CH10,CH11&gt;CH12),"u3.5",IF(AND(CH12&gt;CH11,CH12&gt;CH10),"o2.5","u4.5")))))</f>
        <v/>
      </c>
      <c r="CI14" s="195">
        <f>CN12/CJ15</f>
        <v/>
      </c>
      <c r="CJ14" s="192">
        <f>CQ12/CJ15</f>
        <v/>
      </c>
      <c r="CK14" s="192">
        <f>CQ6/CJ15</f>
        <v/>
      </c>
      <c r="CL14" s="192">
        <f>IF(AND(CL12="all met",CL13&lt;0.7),"all met","not met")</f>
        <v/>
      </c>
      <c r="CM14" s="192" t="n"/>
      <c r="CN14" s="192">
        <f>SUM(CK6:CK11,CL7:CL11,CM8:CM11,CN9:CN11,CO10:CO11,CP11)</f>
        <v/>
      </c>
      <c r="CO14" s="192">
        <f>SUM(CP6:CP11,CO6:CO10,CN6:CN9,CM6:CM8,CL6:CL7,CK6)</f>
        <v/>
      </c>
      <c r="CP14" s="192">
        <f>SUM(CN14,CO14)</f>
        <v/>
      </c>
      <c r="CQ14" s="192" t="n"/>
      <c r="CR14" s="192" t="n"/>
      <c r="CS14" s="212" t="inlineStr">
        <is>
          <t xml:space="preserve">decision </t>
        </is>
      </c>
      <c r="CT14" s="212">
        <f>IF(CU13&gt;0.8,"NO GG",IF(CT13&gt;0.81,"GG","run"))</f>
        <v/>
      </c>
      <c r="CU14" s="212" t="n"/>
      <c r="CV14" s="204" t="n"/>
      <c r="DA14" s="201" t="n">
        <v>3</v>
      </c>
      <c r="DB14" s="202" t="inlineStr">
        <is>
          <t>:</t>
        </is>
      </c>
      <c r="DC14" s="203" t="n">
        <v>1</v>
      </c>
      <c r="DD14" s="192">
        <f>POISSON(DA14,$C$9,FALSE)*POISSON(DC14,$D$9,FALSE)*100</f>
        <v/>
      </c>
      <c r="DE14" s="204">
        <f>RANK(DD14,$DD$5:$DD$36,0)</f>
        <v/>
      </c>
      <c r="DF14" s="0">
        <f>SUM(DF10:DF13)</f>
        <v/>
      </c>
      <c r="DG14" s="0">
        <f>IF(DG13&gt;0,"Rt",IF(DG10&gt;3,"u2.5",IF(AND(DG10&gt;2,DG11&gt;0),"u2.5",IF(AND(DG11&gt;DG10,DG11&gt;DG12),"u3.5",IF(AND(DG12&gt;DG11,DG12&gt;DG10),"o2.5","u4.5")))))</f>
        <v/>
      </c>
      <c r="DH14" s="195">
        <f>DM12/DI15</f>
        <v/>
      </c>
      <c r="DI14" s="192">
        <f>DP12/DI15</f>
        <v/>
      </c>
      <c r="DJ14" s="192">
        <f>DP6/DI15</f>
        <v/>
      </c>
      <c r="DK14" s="192">
        <f>IF(AND(DK12="all met",DK13&lt;0.7),"all met","not met")</f>
        <v/>
      </c>
      <c r="DL14" s="192" t="n"/>
      <c r="DM14" s="192">
        <f>SUM(DJ6:DJ11,DK7:DK11,DL8:DL11,DM9:DM11,DN10:DN11,DO11)</f>
        <v/>
      </c>
      <c r="DN14" s="192">
        <f>SUM(DO6:DO11,DN6:DN10,DM6:DM9,DL6:DL8,DK6:DK7,DJ6)</f>
        <v/>
      </c>
      <c r="DO14" s="192">
        <f>SUM(DM14,DN14)</f>
        <v/>
      </c>
      <c r="DP14" s="192" t="n"/>
      <c r="DQ14" s="192" t="n"/>
      <c r="DR14" s="212" t="inlineStr">
        <is>
          <t xml:space="preserve">decision </t>
        </is>
      </c>
      <c r="DS14" s="212">
        <f>IF(DT13&gt;0.8,"NO GG",IF(DS13&gt;0.81,"GG","run"))</f>
        <v/>
      </c>
      <c r="DT14" s="212" t="n"/>
      <c r="DU14" s="204" t="n"/>
    </row>
    <row r="15" ht="15" customHeight="1" s="276">
      <c r="C15" s="0">
        <f>Sheet1!K59</f>
        <v/>
      </c>
      <c r="D15" s="0">
        <f>Sheet1!J59</f>
        <v/>
      </c>
      <c r="E15" s="201" t="n">
        <v>3</v>
      </c>
      <c r="F15" s="202" t="inlineStr">
        <is>
          <t>:</t>
        </is>
      </c>
      <c r="G15" s="203" t="n">
        <v>0</v>
      </c>
      <c r="H15" s="192">
        <f>POISSON(E15,$C$5,FALSE)*POISSON(G15,$D$5,FALSE)*100</f>
        <v/>
      </c>
      <c r="I15" s="204">
        <f>RANK(H15,$H$5:$H$36,0)</f>
        <v/>
      </c>
      <c r="J15" s="0">
        <f>IF(J10=2,3,J10)</f>
        <v/>
      </c>
      <c r="K15" s="0">
        <f>IF((K10+K11)&gt;3,"firm",IF((K10+K11+K12)&gt;3,"in line","check"))</f>
        <v/>
      </c>
      <c r="L15" s="195">
        <f>M15-(L14/100)</f>
        <v/>
      </c>
      <c r="M15" s="192">
        <f>SUM(N6:S11)</f>
        <v/>
      </c>
      <c r="N15" s="192">
        <f>M15-(N14/100)</f>
        <v/>
      </c>
      <c r="O15" s="192" t="n"/>
      <c r="P15" s="0" t="inlineStr">
        <is>
          <t>calc</t>
        </is>
      </c>
      <c r="Q15" s="0">
        <f>Q14-R14</f>
        <v/>
      </c>
      <c r="R15" s="0">
        <f>S15/(S15+S15)*100</f>
        <v/>
      </c>
      <c r="S15" s="192">
        <f>IF(Q15&lt;0,-Q15,Q15)</f>
        <v/>
      </c>
      <c r="T15" s="192" t="n"/>
      <c r="U15" s="192">
        <f>(W8/$Y$16)*100</f>
        <v/>
      </c>
      <c r="V15" s="214" t="inlineStr">
        <is>
          <t>odd</t>
        </is>
      </c>
      <c r="W15" s="214" t="inlineStr">
        <is>
          <t xml:space="preserve">even </t>
        </is>
      </c>
      <c r="X15" s="192">
        <f>SUM(X6:X10)</f>
        <v/>
      </c>
      <c r="Y15" s="204">
        <f>(W9/X16)*100</f>
        <v/>
      </c>
      <c r="Z15" s="0">
        <f>Z10-ABS(Z14)</f>
        <v/>
      </c>
      <c r="AA15" s="0">
        <f>IF(AND(Z15&lt;0,AY15&lt;0),"both",IF(Z15&lt;0,"Yes1",IF(OR(Z15&lt;0,AY15&lt;0),"yes","no")))</f>
        <v/>
      </c>
      <c r="AC15" s="0">
        <f>IF(AC16="no, no",1,IF(AC16="no, yes",2,3))</f>
        <v/>
      </c>
      <c r="AD15" s="201" t="n">
        <v>3</v>
      </c>
      <c r="AE15" s="202">
        <f>AD15+AF15</f>
        <v/>
      </c>
      <c r="AF15" s="203" t="n">
        <v>0</v>
      </c>
      <c r="AG15" s="192">
        <f>POISSON(AD15,$C$6,FALSE)*POISSON(AF15,$D$6,FALSE)*100</f>
        <v/>
      </c>
      <c r="AH15" s="204">
        <f>RANK(AG15,$AG$5:$AG$36,0)</f>
        <v/>
      </c>
      <c r="AI15" s="0">
        <f>IF(AI10=2,3,AI10)</f>
        <v/>
      </c>
      <c r="AJ15" s="0">
        <f>IF((AJ10+AJ11)&gt;3,"firm",IF((AJ10+AJ11+AJ12)&gt;3,"in line","check"))</f>
        <v/>
      </c>
      <c r="AK15" s="195">
        <f>AL15-(AK14/100)</f>
        <v/>
      </c>
      <c r="AL15" s="192">
        <f>SUM(AM6:AR11)</f>
        <v/>
      </c>
      <c r="AM15" s="192">
        <f>AL15-(AM14/100)</f>
        <v/>
      </c>
      <c r="AN15" s="192" t="n"/>
      <c r="AO15" s="0" t="inlineStr">
        <is>
          <t>calc</t>
        </is>
      </c>
      <c r="AP15" s="0">
        <f>AP14-AQ14</f>
        <v/>
      </c>
      <c r="AQ15" s="0">
        <f>AR15/(AR15+AR15)*100</f>
        <v/>
      </c>
      <c r="AR15" s="192">
        <f>IF(AP15&lt;0,-AP15,AP15)</f>
        <v/>
      </c>
      <c r="AS15" s="192" t="n"/>
      <c r="AT15" s="192">
        <f>(AV8/$AX$16)*100</f>
        <v/>
      </c>
      <c r="AU15" s="214" t="inlineStr">
        <is>
          <t>odd</t>
        </is>
      </c>
      <c r="AV15" s="214" t="inlineStr">
        <is>
          <t xml:space="preserve">even </t>
        </is>
      </c>
      <c r="AW15" s="192">
        <f>SUM(AW6:AW10)</f>
        <v/>
      </c>
      <c r="AX15" s="204">
        <f>(AV7/AW16)*100</f>
        <v/>
      </c>
      <c r="AY15" s="0">
        <f>AY10-ABS(AY14)</f>
        <v/>
      </c>
      <c r="BB15" s="0">
        <f>IF(BB16="no, no",1,IF(BB16="no, yes",2,3))</f>
        <v/>
      </c>
      <c r="BC15" s="201" t="n">
        <v>3</v>
      </c>
      <c r="BD15" s="202" t="inlineStr">
        <is>
          <t>:</t>
        </is>
      </c>
      <c r="BE15" s="203" t="n">
        <v>0</v>
      </c>
      <c r="BF15" s="192">
        <f>POISSON(BC15,$C$7,FALSE)*POISSON(BE15,$D$7,FALSE)*100</f>
        <v/>
      </c>
      <c r="BG15" s="204">
        <f>RANK(BF15,$BF$5:$BF$36,0)</f>
        <v/>
      </c>
      <c r="BH15" s="0">
        <f>IF(BH10=2,3,BH10)</f>
        <v/>
      </c>
      <c r="BI15" s="0">
        <f>IF((BI10+BI11)&gt;3,"firm",IF((BI10+BI11+BI12)&gt;3,"in line","check"))</f>
        <v/>
      </c>
      <c r="BJ15" s="195">
        <f>BK15-(BJ14/100)</f>
        <v/>
      </c>
      <c r="BK15" s="192">
        <f>SUM(BL6:BQ11)</f>
        <v/>
      </c>
      <c r="BL15" s="192">
        <f>BK15-(BL14/100)</f>
        <v/>
      </c>
      <c r="BM15" s="192" t="n"/>
      <c r="BN15" s="0" t="inlineStr">
        <is>
          <t>calc</t>
        </is>
      </c>
      <c r="BO15" s="0">
        <f>BO14-BP14</f>
        <v/>
      </c>
      <c r="BP15" s="0">
        <f>BQ15/(BQ15+BQ15)*100</f>
        <v/>
      </c>
      <c r="BQ15" s="192">
        <f>IF(BO15&lt;0,-BO15,BO15)</f>
        <v/>
      </c>
      <c r="BR15" s="192" t="n"/>
      <c r="BS15" s="192" t="n"/>
      <c r="BT15" s="214" t="inlineStr">
        <is>
          <t>odd</t>
        </is>
      </c>
      <c r="BU15" s="214" t="inlineStr">
        <is>
          <t xml:space="preserve">even </t>
        </is>
      </c>
      <c r="BV15" s="192" t="n"/>
      <c r="BW15" s="204" t="n"/>
      <c r="CA15" s="0">
        <f>IF(CA16="no, no",1,IF(CA16="no, yes",2,3))</f>
        <v/>
      </c>
      <c r="CB15" s="201" t="n">
        <v>3</v>
      </c>
      <c r="CC15" s="202" t="inlineStr">
        <is>
          <t>:</t>
        </is>
      </c>
      <c r="CD15" s="203" t="n">
        <v>0</v>
      </c>
      <c r="CE15" s="192">
        <f>POISSON(CB15,$C$8,FALSE)*POISSON(CD15,$D$8,FALSE)*100</f>
        <v/>
      </c>
      <c r="CF15" s="204">
        <f>RANK(CE15,$CE$5:$CE$36,0)</f>
        <v/>
      </c>
      <c r="CG15" s="0">
        <f>IF(CG10=2,3,CG10)</f>
        <v/>
      </c>
      <c r="CH15" s="0">
        <f>IF((CH10+CH11)&gt;3,"firm",IF((CH10+CH11+CH12)&gt;3,"in line","check"))</f>
        <v/>
      </c>
      <c r="CI15" s="195">
        <f>CJ15-(CI14/100)</f>
        <v/>
      </c>
      <c r="CJ15" s="192">
        <f>SUM(CK6:CP11)</f>
        <v/>
      </c>
      <c r="CK15" s="192">
        <f>CJ15-(CK14/100)</f>
        <v/>
      </c>
      <c r="CL15" s="192" t="n"/>
      <c r="CM15" s="0" t="inlineStr">
        <is>
          <t>calc</t>
        </is>
      </c>
      <c r="CN15" s="0">
        <f>CN14-CO14</f>
        <v/>
      </c>
      <c r="CO15" s="0">
        <f>CP15/(CP15+CP15)*100</f>
        <v/>
      </c>
      <c r="CP15" s="192">
        <f>IF(CN15&lt;0,-CN15,CN15)</f>
        <v/>
      </c>
      <c r="CQ15" s="192" t="n"/>
      <c r="CR15" s="192" t="n"/>
      <c r="CS15" s="214" t="inlineStr">
        <is>
          <t>odd</t>
        </is>
      </c>
      <c r="CT15" s="214" t="inlineStr">
        <is>
          <t xml:space="preserve">even </t>
        </is>
      </c>
      <c r="CU15" s="192" t="n"/>
      <c r="CV15" s="204" t="n"/>
      <c r="CZ15" s="0">
        <f>IF(CZ16="no, no",1,IF(CZ16="no, yes",2,3))</f>
        <v/>
      </c>
      <c r="DA15" s="201" t="n">
        <v>3</v>
      </c>
      <c r="DB15" s="202" t="inlineStr">
        <is>
          <t>:</t>
        </is>
      </c>
      <c r="DC15" s="203" t="n">
        <v>0</v>
      </c>
      <c r="DD15" s="192">
        <f>POISSON(DA15,$C$9,FALSE)*POISSON(DC15,$D$9,FALSE)*100</f>
        <v/>
      </c>
      <c r="DE15" s="204">
        <f>RANK(DD15,$DD$5:$DD$36,0)</f>
        <v/>
      </c>
      <c r="DF15" s="0">
        <f>IF(DF10=2,3,DF10)</f>
        <v/>
      </c>
      <c r="DG15" s="0">
        <f>IF((DG10+DG11)&gt;3,"firm",IF((DG10+DG11+DG12)&gt;3,"in line","check"))</f>
        <v/>
      </c>
      <c r="DH15" s="195">
        <f>DI15-(DH14/100)</f>
        <v/>
      </c>
      <c r="DI15" s="192">
        <f>SUM(DJ6:DO11)</f>
        <v/>
      </c>
      <c r="DJ15" s="192">
        <f>DI15-(DJ14/100)</f>
        <v/>
      </c>
      <c r="DK15" s="192" t="n"/>
      <c r="DL15" s="0" t="inlineStr">
        <is>
          <t>calc</t>
        </is>
      </c>
      <c r="DM15" s="0">
        <f>DM14-DN14</f>
        <v/>
      </c>
      <c r="DN15" s="0">
        <f>DO15/(DO15+DO15)*100</f>
        <v/>
      </c>
      <c r="DO15" s="192">
        <f>IF(DM15&lt;0,-DM15,DM15)</f>
        <v/>
      </c>
      <c r="DP15" s="192" t="n"/>
      <c r="DQ15" s="192" t="n"/>
      <c r="DR15" s="214" t="inlineStr">
        <is>
          <t>odd</t>
        </is>
      </c>
      <c r="DS15" s="214" t="inlineStr">
        <is>
          <t xml:space="preserve">even </t>
        </is>
      </c>
      <c r="DT15" s="192" t="n"/>
      <c r="DU15" s="204" t="n"/>
    </row>
    <row r="16" ht="24.75" customHeight="1" s="276">
      <c r="C16" s="0">
        <f>Sheet1!O59</f>
        <v/>
      </c>
      <c r="D16" s="0">
        <f>Sheet1!N59</f>
        <v/>
      </c>
      <c r="E16" s="201" t="n">
        <v>2</v>
      </c>
      <c r="F16" s="202" t="inlineStr">
        <is>
          <t>:</t>
        </is>
      </c>
      <c r="G16" s="203" t="n">
        <v>3</v>
      </c>
      <c r="H16" s="192">
        <f>POISSON(E16,$C$5,FALSE)*POISSON(G16,$D$5,FALSE)*100</f>
        <v/>
      </c>
      <c r="I16" s="204">
        <f>RANK(H16,$H$5:$H$36,0)</f>
        <v/>
      </c>
      <c r="J16" s="0">
        <f>IF(J11=2,3,J11)</f>
        <v/>
      </c>
      <c r="K16" s="0">
        <f>_xlfn.TEXTJOIN(", ", ,K15,K53)</f>
        <v/>
      </c>
      <c r="L16" s="195">
        <f>IF(N15=MIN(L15,M16,N15),2,IF(M16=MIN(L15,M16,N15),"x",1))</f>
        <v/>
      </c>
      <c r="M16" s="192">
        <f>M15-(M14/100)</f>
        <v/>
      </c>
      <c r="N16" s="192">
        <f>IF(AND(OR(L16=1,L16=2),OR(L15&lt;0.3,N15&lt;0.3)),"win","edge")</f>
        <v/>
      </c>
      <c r="O16" s="192">
        <f>AVERAGE(Sheet1!A74,(Sheet1!A114*100))</f>
        <v/>
      </c>
      <c r="P16" s="192" t="inlineStr">
        <is>
          <t>Ave.GE</t>
        </is>
      </c>
      <c r="Q16" s="192">
        <f>AVERAGE(Q14,R14)</f>
        <v/>
      </c>
      <c r="R16" s="192" t="n"/>
      <c r="S16" s="192" t="n"/>
      <c r="T16" s="192" t="n"/>
      <c r="U16" s="192">
        <f>(W9/$Y$16)*100</f>
        <v/>
      </c>
      <c r="V16" s="215">
        <f>SUM(O6,N7,P7,Q8,R9,S10,O8,P9,Q10,R11,P11,O10,N9,N11,Q6,R7,S8,S6)</f>
        <v/>
      </c>
      <c r="W16" s="215">
        <f>SUM(N6,O7,P8,Q9,R10,S11,P6,Q7,R8,S9,R6,S7,N8,O9,P10,Q11,O11,N10)</f>
        <v/>
      </c>
      <c r="X16" s="192">
        <f>SUM(W6:W10)</f>
        <v/>
      </c>
      <c r="Y16" s="204">
        <f>AVERAGEA(X15,X16)</f>
        <v/>
      </c>
      <c r="Z16" s="0">
        <f>IF(Z10&gt;0,Z10)+IF(Z11&gt;0,Z11)+IF(Z12&gt;0,Z12)+IF(Z13&gt;0,Z13)+IF(Z14&gt;0,Z14)</f>
        <v/>
      </c>
      <c r="AA16" s="0">
        <f>IF(AND(Z18=3,AY18=3),"ok","not upto")</f>
        <v/>
      </c>
      <c r="AC16" s="0">
        <f>_xlfn.TEXTJOIN(", ", ,AC17,AC55)</f>
        <v/>
      </c>
      <c r="AD16" s="201" t="n">
        <v>2</v>
      </c>
      <c r="AE16" s="202">
        <f>AD16+AF16</f>
        <v/>
      </c>
      <c r="AF16" s="203" t="n">
        <v>3</v>
      </c>
      <c r="AG16" s="192">
        <f>POISSON(AD16,$C$6,FALSE)*POISSON(AF16,$D$6,FALSE)*100</f>
        <v/>
      </c>
      <c r="AH16" s="204">
        <f>RANK(AG16,$AG$5:$AG$36,0)</f>
        <v/>
      </c>
      <c r="AI16" s="0">
        <f>IF(AI11=2,3,AI11)</f>
        <v/>
      </c>
      <c r="AJ16" s="0">
        <f>_xlfn.TEXTJOIN(", ", ,AJ15,AJ53)</f>
        <v/>
      </c>
      <c r="AK16" s="195">
        <f>IF(AM15=MIN(AK15,AL16,AM15),2,IF(AL16=MIN(AK15,AL16,AM15),"x",1))</f>
        <v/>
      </c>
      <c r="AL16" s="192">
        <f>AL15-(AL14/100)</f>
        <v/>
      </c>
      <c r="AM16" s="192">
        <f>IF(AND(OR(AK16=1,AK16=2),OR(AK15&lt;0.3,AM15&lt;0.3)),"win","edge")</f>
        <v/>
      </c>
      <c r="AN16" s="192">
        <f>IF(AND(OR(AK16=1,AK16=2),OR(AK15&lt;0.3,AM15&lt;0.3)),"yes","no")</f>
        <v/>
      </c>
      <c r="AO16" s="192" t="inlineStr">
        <is>
          <t>Ave.GE</t>
        </is>
      </c>
      <c r="AP16" s="192">
        <f>AVERAGE(AP14,AQ14)</f>
        <v/>
      </c>
      <c r="AQ16" s="192" t="n"/>
      <c r="AR16" s="192" t="n"/>
      <c r="AS16" s="192" t="n"/>
      <c r="AT16" s="192">
        <f>(AV9/$AX$16)*100</f>
        <v/>
      </c>
      <c r="AU16" s="215">
        <f>SUM(AN6,AM7,AO7,AP8,AQ9,AR10,AN8,AO9,AP10,AQ11,AO11,AN10,AM9,AM11,AP6,AQ7,AR8,AR6)</f>
        <v/>
      </c>
      <c r="AV16" s="215">
        <f>SUM(AM6,AN7,AO8,AP9,AQ10,AR11,AO6,AP7,AQ8,AR9,AQ6,AR7,AM8,AN9,AO10,AP11,AN11,AM10)</f>
        <v/>
      </c>
      <c r="AW16" s="192">
        <f>SUM(AV6:AV10)</f>
        <v/>
      </c>
      <c r="AX16" s="204">
        <f>AVERAGEA(AW15,AW16)</f>
        <v/>
      </c>
      <c r="AY16" s="0">
        <f>IF(AY10&gt;0,AY10)+IF(AY11&gt;0,AY11)+IF(AY12&gt;0,AY12)+IF(AY13&gt;0,AY13)+IF(AY14&gt;0,AY14)</f>
        <v/>
      </c>
      <c r="BB16" s="0">
        <f>_xlfn.TEXTJOIN(", ", ,BB17,BB55)</f>
        <v/>
      </c>
      <c r="BC16" s="201" t="n">
        <v>2</v>
      </c>
      <c r="BD16" s="202" t="inlineStr">
        <is>
          <t>:</t>
        </is>
      </c>
      <c r="BE16" s="203" t="n">
        <v>3</v>
      </c>
      <c r="BF16" s="192">
        <f>POISSON(BC16,$C$7,FALSE)*POISSON(BE16,$D$7,FALSE)*100</f>
        <v/>
      </c>
      <c r="BG16" s="204">
        <f>RANK(BF16,$BF$5:$BF$36,0)</f>
        <v/>
      </c>
      <c r="BH16" s="0">
        <f>IF(BH11=2,3,BH11)</f>
        <v/>
      </c>
      <c r="BI16" s="0">
        <f>_xlfn.TEXTJOIN(", ", ,BI15,BI53)</f>
        <v/>
      </c>
      <c r="BJ16" s="195">
        <f>IF(BL15=MIN(BJ15,BK16,BL15),2,IF(BK16=MIN(BJ15,BK16,BL15),"x",1))</f>
        <v/>
      </c>
      <c r="BK16" s="192">
        <f>BK15-(BK14/100)</f>
        <v/>
      </c>
      <c r="BL16" s="192">
        <f>IF(AND(OR(BJ16=1,BJ16=2),OR(BJ15&lt;0.3,BL15&lt;0.3)),"win","edge")</f>
        <v/>
      </c>
      <c r="BM16" s="192" t="n"/>
      <c r="BN16" s="192" t="inlineStr">
        <is>
          <t>Ave.GE</t>
        </is>
      </c>
      <c r="BO16" s="192">
        <f>AVERAGE(BO14,BP14)</f>
        <v/>
      </c>
      <c r="BP16" s="192" t="n"/>
      <c r="BQ16" s="192" t="n"/>
      <c r="BR16" s="192" t="n"/>
      <c r="BS16" s="192" t="n"/>
      <c r="BT16" s="215">
        <f>SUM(BM6,BL7,BN7,BO8,BP9,BQ10,BM8,BN9,BO10,BP11,BN11,BM10,BL9,BL11,BO6,BP7,BQ8,BQ6)</f>
        <v/>
      </c>
      <c r="BU16" s="215">
        <f>SUM(BL6,BM7,BN8,BO9,BP10,BQ11,BN6,BO7,BP8,BQ9,BP6,BQ7,BL8,BM9,BN10,BO11,BM11,BL10)</f>
        <v/>
      </c>
      <c r="BV16" s="192" t="n"/>
      <c r="BW16" s="204" t="n"/>
      <c r="CA16" s="0">
        <f>_xlfn.TEXTJOIN(", ", ,CA17,CA55)</f>
        <v/>
      </c>
      <c r="CB16" s="201" t="n">
        <v>2</v>
      </c>
      <c r="CC16" s="202" t="inlineStr">
        <is>
          <t>:</t>
        </is>
      </c>
      <c r="CD16" s="203" t="n">
        <v>3</v>
      </c>
      <c r="CE16" s="192">
        <f>POISSON(CB16,$C$8,FALSE)*POISSON(CD16,$D$8,FALSE)*100</f>
        <v/>
      </c>
      <c r="CF16" s="204">
        <f>RANK(CE16,$CE$5:$CE$36,0)</f>
        <v/>
      </c>
      <c r="CG16" s="0">
        <f>IF(CG11=2,3,CG11)</f>
        <v/>
      </c>
      <c r="CH16" s="0">
        <f>_xlfn.TEXTJOIN(", ", ,CH15,CH53)</f>
        <v/>
      </c>
      <c r="CI16" s="195">
        <f>IF(CK15=MIN(CI15,CJ16,CK15),2,IF(CJ16=MIN(CI15,CJ16,CK15),"x",1))</f>
        <v/>
      </c>
      <c r="CJ16" s="192">
        <f>CJ15-(CJ14/100)</f>
        <v/>
      </c>
      <c r="CK16" s="192">
        <f>IF(AND(OR(CI16=1,CI16=2),OR(CI15&lt;0.3,CK15&lt;0.3)),"win","edge")</f>
        <v/>
      </c>
      <c r="CL16" s="192" t="n"/>
      <c r="CM16" s="192" t="inlineStr">
        <is>
          <t>Ave.GE</t>
        </is>
      </c>
      <c r="CN16" s="192">
        <f>AVERAGE(CN14,CO14)</f>
        <v/>
      </c>
      <c r="CO16" s="192" t="n"/>
      <c r="CP16" s="192" t="n"/>
      <c r="CQ16" s="192" t="n"/>
      <c r="CR16" s="192" t="n"/>
      <c r="CS16" s="215">
        <f>SUM(CL6,CK7,CM7,CN8,CO9,CP10,CL8,CM9,CN10,CO11,CM11,CL10,CK9,CK11,CN6,CO7,CP8,CP6)</f>
        <v/>
      </c>
      <c r="CT16" s="215">
        <f>SUM(CK6,CL7,CM8,CN9,CO10,CP11,CM6,CN7,CO8,CP9,CO6,CP7,CK8,CL9,CM10,CN11,CL11,CK10)</f>
        <v/>
      </c>
      <c r="CU16" s="192" t="n"/>
      <c r="CV16" s="204" t="n"/>
      <c r="CZ16" s="0">
        <f>_xlfn.TEXTJOIN(", ", ,CZ17,CZ55)</f>
        <v/>
      </c>
      <c r="DA16" s="201" t="n">
        <v>2</v>
      </c>
      <c r="DB16" s="202" t="inlineStr">
        <is>
          <t>:</t>
        </is>
      </c>
      <c r="DC16" s="203" t="n">
        <v>3</v>
      </c>
      <c r="DD16" s="192">
        <f>POISSON(DA16,$C$9,FALSE)*POISSON(DC16,$D$9,FALSE)*100</f>
        <v/>
      </c>
      <c r="DE16" s="204">
        <f>RANK(DD16,$DD$5:$DD$36,0)</f>
        <v/>
      </c>
      <c r="DF16" s="0">
        <f>IF(DF11=2,3,DF11)</f>
        <v/>
      </c>
      <c r="DG16" s="0">
        <f>_xlfn.TEXTJOIN(", ", ,DG15,DG53)</f>
        <v/>
      </c>
      <c r="DH16" s="195">
        <f>IF(DJ15=MIN(DH15,DI16,DJ15),2,IF(DI16=MIN(DH15,DI16,DJ15),"x",1))</f>
        <v/>
      </c>
      <c r="DI16" s="192">
        <f>DI15-(DI14/100)</f>
        <v/>
      </c>
      <c r="DJ16" s="192">
        <f>IF(AND(OR(DH16=1,DH16=2),OR(DH15&lt;0.3,DJ15&lt;0.3)),"win","edge")</f>
        <v/>
      </c>
      <c r="DK16" s="192" t="n"/>
      <c r="DL16" s="192" t="inlineStr">
        <is>
          <t>Ave.GE</t>
        </is>
      </c>
      <c r="DM16" s="192">
        <f>AVERAGE(DM14,DN14)</f>
        <v/>
      </c>
      <c r="DN16" s="192" t="n"/>
      <c r="DO16" s="192" t="n"/>
      <c r="DP16" s="192" t="n"/>
      <c r="DQ16" s="192" t="n"/>
      <c r="DR16" s="215">
        <f>SUM(DK6,DJ7,DL7,DM8,DN9,DO10,DK8,DL9,DM10,DN11,DL11,DK10,DJ9,DJ11,DM6,DN7,DO8,DO6)</f>
        <v/>
      </c>
      <c r="DS16" s="215">
        <f>SUM(DJ6,DK7,DL8,DM9,DN10,DO11,DL6,DM7,DN8,DO9,DN6,DO7,DJ8,DK9,DL10,DM11,DK11,DJ10)</f>
        <v/>
      </c>
      <c r="DT16" s="192" t="n"/>
      <c r="DU16" s="204" t="n"/>
    </row>
    <row r="17" ht="16.5" customHeight="1" s="276">
      <c r="C17" s="0">
        <f>Sheet1!S59</f>
        <v/>
      </c>
      <c r="D17" s="0">
        <f>Sheet1!R59</f>
        <v/>
      </c>
      <c r="E17" s="201" t="n">
        <v>1</v>
      </c>
      <c r="F17" s="202" t="inlineStr">
        <is>
          <t>:</t>
        </is>
      </c>
      <c r="G17" s="203" t="n">
        <v>4</v>
      </c>
      <c r="H17" s="192">
        <f>POISSON(E17,$C$5,FALSE)*POISSON(G17,$D$5,FALSE)*100</f>
        <v/>
      </c>
      <c r="I17" s="204">
        <f>RANK(H17,$H$5:$H$36,0)</f>
        <v/>
      </c>
      <c r="J17" s="0">
        <f>IF(J12=2,3,J12)</f>
        <v/>
      </c>
      <c r="K17" s="0">
        <f>IF(K16="firm, firm","All1",IF(K16="firm, in line",1,IF(K16="in line, firm",1,IF(K16="in line, in line","All",IF(K16="in line, check","1st half",IF(K16="check, in line","2nd half","out"))))))</f>
        <v/>
      </c>
      <c r="L17" s="216">
        <f>AVERAGE(L15,M16,N15)</f>
        <v/>
      </c>
      <c r="M17" s="217">
        <f>_xlfn.TEXTJOIN(", ", ,L16,N16)</f>
        <v/>
      </c>
      <c r="N17" s="217" t="n"/>
      <c r="O17" s="217" t="n"/>
      <c r="P17" s="217" t="n"/>
      <c r="Q17" s="217" t="n"/>
      <c r="R17" s="217" t="n"/>
      <c r="S17" s="217" t="n"/>
      <c r="T17" s="217" t="n"/>
      <c r="U17" s="192">
        <f>(W10/$Y$16)*100</f>
        <v/>
      </c>
      <c r="V17" s="218" t="inlineStr">
        <is>
          <t xml:space="preserve">decision </t>
        </is>
      </c>
      <c r="W17" s="218">
        <f>IF(W16&gt;0.525,"EVEN",IF(V16&gt;0.53,"ODD","RUN"))</f>
        <v/>
      </c>
      <c r="X17" s="217" t="n"/>
      <c r="Y17" s="219" t="n"/>
      <c r="Z17" s="0">
        <f>IF(Z10&lt;0,Z10)+IF(Z11&lt;0,Z11)+IF(Z12&lt;0,Z12)+IF(Z13&lt;0,Z13)+IF(Z14&lt;0,Z14)</f>
        <v/>
      </c>
      <c r="AC17" s="0">
        <f>IF(OR(AB19&gt;AC18,AB19=AC18),"yes","no")</f>
        <v/>
      </c>
      <c r="AD17" s="201" t="n">
        <v>1</v>
      </c>
      <c r="AE17" s="202">
        <f>AD17+AF17</f>
        <v/>
      </c>
      <c r="AF17" s="203" t="n">
        <v>4</v>
      </c>
      <c r="AG17" s="192">
        <f>POISSON(AD17,$C$6,FALSE)*POISSON(AF17,$D$6,FALSE)*100</f>
        <v/>
      </c>
      <c r="AH17" s="204">
        <f>RANK(AG17,$AG$5:$AG$36,0)</f>
        <v/>
      </c>
      <c r="AI17" s="0">
        <f>IF(AI12=2,3,AI12)</f>
        <v/>
      </c>
      <c r="AJ17" s="0">
        <f>IF(AJ16="firm, firm","All1",IF(AJ16="firm, in line",1,IF(AJ16="in line, firm",1,IF(AJ16="in line, in line","All",IF(AJ16="in line, check","1st half",IF(AJ16="check, in line","2nd half","out"))))))</f>
        <v/>
      </c>
      <c r="AK17" s="216">
        <f>AVERAGE(AK15,AL16,AM15)</f>
        <v/>
      </c>
      <c r="AL17" s="217">
        <f>_xlfn.TEXTJOIN(", ", ,AK16,AM16)</f>
        <v/>
      </c>
      <c r="AM17" s="217" t="n"/>
      <c r="AN17" s="217" t="n"/>
      <c r="AO17" s="217" t="n"/>
      <c r="AP17" s="217" t="n"/>
      <c r="AQ17" s="217" t="n"/>
      <c r="AR17" s="217" t="n"/>
      <c r="AS17" s="217" t="n"/>
      <c r="AT17" s="192">
        <f>(AV10/$AX$16)*100</f>
        <v/>
      </c>
      <c r="AU17" s="218" t="inlineStr">
        <is>
          <t xml:space="preserve">decision </t>
        </is>
      </c>
      <c r="AV17" s="218">
        <f>IF(AV16&gt;0.525,"EVEN",IF(AU16&gt;0.53,"ODD","RUN"))</f>
        <v/>
      </c>
      <c r="AW17" s="217" t="n"/>
      <c r="AX17" s="219" t="n"/>
      <c r="AY17" s="0">
        <f>IF(AY10&lt;0,AY10)+IF(AY11&lt;0,AY11)+IF(AY12&lt;0,AY12)+IF(AY13&lt;0,AY13)+IF(AY14&lt;0,AY14)</f>
        <v/>
      </c>
      <c r="BB17" s="0">
        <f>IF(OR(BA19&gt;BB18,BA19=BB18),"yes","no")</f>
        <v/>
      </c>
      <c r="BC17" s="201" t="n">
        <v>1</v>
      </c>
      <c r="BD17" s="202" t="inlineStr">
        <is>
          <t>:</t>
        </is>
      </c>
      <c r="BE17" s="203" t="n">
        <v>4</v>
      </c>
      <c r="BF17" s="192">
        <f>POISSON(BC17,$C$7,FALSE)*POISSON(BE17,$D$7,FALSE)*100</f>
        <v/>
      </c>
      <c r="BG17" s="204">
        <f>RANK(BF17,$BF$5:$BF$36,0)</f>
        <v/>
      </c>
      <c r="BH17" s="0">
        <f>IF(BH12=2,3,BH12)</f>
        <v/>
      </c>
      <c r="BI17" s="0">
        <f>IF(BI16="firm, firm","All1",IF(BI16="firm, in line",1,IF(BI16="in line, firm",1,IF(BI16="in line, in line","All",IF(BI16="in line, check","1st half",IF(BI16="check, in line","2nd half","out"))))))</f>
        <v/>
      </c>
      <c r="BJ17" s="216">
        <f>AVERAGE(BJ15,BK16,BL15)</f>
        <v/>
      </c>
      <c r="BK17" s="217">
        <f>_xlfn.TEXTJOIN(", ", ,BJ16,BL16)</f>
        <v/>
      </c>
      <c r="BL17" s="217" t="n"/>
      <c r="BM17" s="217" t="n"/>
      <c r="BN17" s="217" t="n"/>
      <c r="BO17" s="217" t="n"/>
      <c r="BP17" s="217" t="n"/>
      <c r="BQ17" s="217" t="n"/>
      <c r="BR17" s="217" t="n"/>
      <c r="BS17" s="217" t="n"/>
      <c r="BT17" s="218" t="inlineStr">
        <is>
          <t xml:space="preserve">decision </t>
        </is>
      </c>
      <c r="BU17" s="218">
        <f>IF(BU16&gt;0.525,"EVEN",IF(BT16&gt;0.53,"ODD","RUN"))</f>
        <v/>
      </c>
      <c r="BV17" s="217" t="n"/>
      <c r="BW17" s="219" t="n"/>
      <c r="CA17" s="0">
        <f>IF(OR(BZ19&gt;CA18,BZ19=CA18),"yes","no")</f>
        <v/>
      </c>
      <c r="CB17" s="201" t="n">
        <v>1</v>
      </c>
      <c r="CC17" s="202" t="inlineStr">
        <is>
          <t>:</t>
        </is>
      </c>
      <c r="CD17" s="203" t="n">
        <v>4</v>
      </c>
      <c r="CE17" s="192">
        <f>POISSON(CB17,$C$8,FALSE)*POISSON(CD17,$D$8,FALSE)*100</f>
        <v/>
      </c>
      <c r="CF17" s="204">
        <f>RANK(CE17,$CE$5:$CE$36,0)</f>
        <v/>
      </c>
      <c r="CG17" s="0">
        <f>IF(CG12=2,3,CG12)</f>
        <v/>
      </c>
      <c r="CH17" s="0">
        <f>IF(CH16="firm, firm","All1",IF(CH16="firm, in line",1,IF(CH16="in line, firm",1,IF(CH16="in line, in line","All",IF(CH16="in line, check","1st half",IF(CH16="check, in line","2nd half","out"))))))</f>
        <v/>
      </c>
      <c r="CI17" s="216">
        <f>AVERAGE(CI15,CJ16,CK15)</f>
        <v/>
      </c>
      <c r="CJ17" s="217">
        <f>_xlfn.TEXTJOIN(", ", ,CI16,CK16)</f>
        <v/>
      </c>
      <c r="CK17" s="217" t="n"/>
      <c r="CL17" s="217" t="n"/>
      <c r="CM17" s="217" t="n"/>
      <c r="CN17" s="217" t="n"/>
      <c r="CO17" s="217" t="n"/>
      <c r="CP17" s="217" t="n"/>
      <c r="CQ17" s="217" t="n"/>
      <c r="CR17" s="217" t="n"/>
      <c r="CS17" s="218" t="inlineStr">
        <is>
          <t xml:space="preserve">decision </t>
        </is>
      </c>
      <c r="CT17" s="218">
        <f>IF(CT16&gt;0.525,"EVEN",IF(CS16&gt;0.53,"ODD","RUN"))</f>
        <v/>
      </c>
      <c r="CU17" s="217" t="n"/>
      <c r="CV17" s="219" t="n"/>
      <c r="CZ17" s="0">
        <f>IF(OR(CY19&gt;CZ18,CY19=CZ18),"yes","no")</f>
        <v/>
      </c>
      <c r="DA17" s="201" t="n">
        <v>1</v>
      </c>
      <c r="DB17" s="202" t="inlineStr">
        <is>
          <t>:</t>
        </is>
      </c>
      <c r="DC17" s="203" t="n">
        <v>4</v>
      </c>
      <c r="DD17" s="192">
        <f>POISSON(DA17,$C$9,FALSE)*POISSON(DC17,$D$9,FALSE)*100</f>
        <v/>
      </c>
      <c r="DE17" s="204">
        <f>RANK(DD17,$DD$5:$DD$36,0)</f>
        <v/>
      </c>
      <c r="DF17" s="0">
        <f>IF(DF12=2,3,DF12)</f>
        <v/>
      </c>
      <c r="DG17" s="0">
        <f>IF(DG16="firm, firm","All1",IF(DG16="firm, in line",1,IF(DG16="in line, firm",1,IF(DG16="in line, in line","All",IF(DG16="in line, check","1st half",IF(DG16="check, in line","2nd half","out"))))))</f>
        <v/>
      </c>
      <c r="DH17" s="216">
        <f>AVERAGE(DH15,DI16,DJ15)</f>
        <v/>
      </c>
      <c r="DI17" s="217">
        <f>_xlfn.TEXTJOIN(", ", ,DH16,DJ16)</f>
        <v/>
      </c>
      <c r="DJ17" s="217" t="n"/>
      <c r="DK17" s="217" t="n"/>
      <c r="DL17" s="217" t="n"/>
      <c r="DM17" s="217" t="n"/>
      <c r="DN17" s="217" t="n"/>
      <c r="DO17" s="217" t="n"/>
      <c r="DP17" s="217" t="n"/>
      <c r="DQ17" s="217" t="n"/>
      <c r="DR17" s="218" t="inlineStr">
        <is>
          <t xml:space="preserve">decision </t>
        </is>
      </c>
      <c r="DS17" s="218">
        <f>IF(DS16&gt;0.525,"EVEN",IF(DR16&gt;0.53,"ODD","RUN"))</f>
        <v/>
      </c>
      <c r="DT17" s="217" t="n"/>
      <c r="DU17" s="219" t="n"/>
    </row>
    <row r="18" ht="15" customHeight="1" s="276">
      <c r="C18" s="0">
        <f>Sheet1!W59</f>
        <v/>
      </c>
      <c r="D18" s="0">
        <f>Sheet1!V59</f>
        <v/>
      </c>
      <c r="E18" s="201" t="n">
        <v>2</v>
      </c>
      <c r="F18" s="202" t="inlineStr">
        <is>
          <t>:</t>
        </is>
      </c>
      <c r="G18" s="203" t="n">
        <v>4</v>
      </c>
      <c r="H18" s="192">
        <f>POISSON(E18,$C$5,FALSE)*POISSON(G18,$D$5,FALSE)*100</f>
        <v/>
      </c>
      <c r="I18" s="204">
        <f>RANK(H18,$H$5:$H$36,0)</f>
        <v/>
      </c>
      <c r="J18" s="0">
        <f>IF(J13=2,3,J13)</f>
        <v/>
      </c>
      <c r="L18" s="0" t="inlineStr">
        <is>
          <t>home</t>
        </is>
      </c>
      <c r="M18" s="0" t="inlineStr">
        <is>
          <t>away</t>
        </is>
      </c>
      <c r="V18" s="0">
        <f>AVERAGE(W18,X18)</f>
        <v/>
      </c>
      <c r="W18" s="0">
        <f>AVERAGE(W6:W10)</f>
        <v/>
      </c>
      <c r="X18" s="0">
        <f>AVERAGE(X6:X10)</f>
        <v/>
      </c>
      <c r="Y18" s="0">
        <f>SUM(W18,X18)</f>
        <v/>
      </c>
      <c r="Z18" s="0">
        <f>COUNTIF(AA10:AA14,1)</f>
        <v/>
      </c>
      <c r="AA18" s="0">
        <f>Z18+AY18</f>
        <v/>
      </c>
      <c r="AB18" s="0">
        <f>IF(AND(AA18&gt;4,Sheet1!X83&lt;7),"yes","no")</f>
        <v/>
      </c>
      <c r="AC18" s="0">
        <f>MAX(AB20:AB22)</f>
        <v/>
      </c>
      <c r="AD18" s="201" t="n">
        <v>2</v>
      </c>
      <c r="AE18" s="202">
        <f>AD18+AF18</f>
        <v/>
      </c>
      <c r="AF18" s="203" t="n">
        <v>4</v>
      </c>
      <c r="AG18" s="192">
        <f>POISSON(AD18,$C$6,FALSE)*POISSON(AF18,$D$6,FALSE)*100</f>
        <v/>
      </c>
      <c r="AH18" s="204">
        <f>RANK(AG18,$AG$5:$AG$36,0)</f>
        <v/>
      </c>
      <c r="AI18" s="0">
        <f>IF(AI13=2,3,AI13)</f>
        <v/>
      </c>
      <c r="AK18" s="0" t="inlineStr">
        <is>
          <t>Away</t>
        </is>
      </c>
      <c r="AL18" s="0" t="inlineStr">
        <is>
          <t>home</t>
        </is>
      </c>
      <c r="AU18" s="0">
        <f>AVERAGE(AV18,AW18)</f>
        <v/>
      </c>
      <c r="AV18" s="0">
        <f>AVERAGE(AV6:AV10)</f>
        <v/>
      </c>
      <c r="AW18" s="0">
        <f>AVERAGE(AW6:AW10)</f>
        <v/>
      </c>
      <c r="AX18" s="0">
        <f>SUM(AV18,AW18)</f>
        <v/>
      </c>
      <c r="AY18" s="0">
        <f>COUNTIF(AZ10:AZ14,1)</f>
        <v/>
      </c>
      <c r="BB18" s="0">
        <f>MAX(BA20:BA22)</f>
        <v/>
      </c>
      <c r="BC18" s="201" t="n">
        <v>2</v>
      </c>
      <c r="BD18" s="202" t="inlineStr">
        <is>
          <t>:</t>
        </is>
      </c>
      <c r="BE18" s="203" t="n">
        <v>4</v>
      </c>
      <c r="BF18" s="192">
        <f>POISSON(BC18,$C$7,FALSE)*POISSON(BE18,$D$7,FALSE)*100</f>
        <v/>
      </c>
      <c r="BG18" s="204">
        <f>RANK(BF18,$BF$5:$BF$36,0)</f>
        <v/>
      </c>
      <c r="BH18" s="0">
        <f>IF(BH13=2,3,BH13)</f>
        <v/>
      </c>
      <c r="BT18" s="0">
        <f>AVERAGE(BU18,BV18)</f>
        <v/>
      </c>
      <c r="BU18" s="0">
        <f>AVERAGE(BU6:BU10)</f>
        <v/>
      </c>
      <c r="BV18" s="0">
        <f>AVERAGE(BV6:BV10)</f>
        <v/>
      </c>
      <c r="BW18" s="0">
        <f>SUM(BU18,BV18)</f>
        <v/>
      </c>
      <c r="CA18" s="0">
        <f>MAX(BZ20:BZ22)</f>
        <v/>
      </c>
      <c r="CB18" s="201" t="n">
        <v>2</v>
      </c>
      <c r="CC18" s="202" t="inlineStr">
        <is>
          <t>:</t>
        </is>
      </c>
      <c r="CD18" s="203" t="n">
        <v>4</v>
      </c>
      <c r="CE18" s="192">
        <f>POISSON(CB18,$C$8,FALSE)*POISSON(CD18,$D$8,FALSE)*100</f>
        <v/>
      </c>
      <c r="CF18" s="204">
        <f>RANK(CE18,$CE$5:$CE$36,0)</f>
        <v/>
      </c>
      <c r="CG18" s="0">
        <f>IF(CG13=2,3,CG13)</f>
        <v/>
      </c>
      <c r="CS18" s="0">
        <f>AVERAGE(CT18,CU18)</f>
        <v/>
      </c>
      <c r="CT18" s="0">
        <f>AVERAGE(CT6:CT10)</f>
        <v/>
      </c>
      <c r="CU18" s="0">
        <f>AVERAGE(CU6:CU10)</f>
        <v/>
      </c>
      <c r="CV18" s="0">
        <f>SUM(CT18,CU18)</f>
        <v/>
      </c>
      <c r="CZ18" s="0">
        <f>MAX(CY20:CY22)</f>
        <v/>
      </c>
      <c r="DA18" s="201" t="n">
        <v>2</v>
      </c>
      <c r="DB18" s="202" t="inlineStr">
        <is>
          <t>:</t>
        </is>
      </c>
      <c r="DC18" s="203" t="n">
        <v>4</v>
      </c>
      <c r="DD18" s="192">
        <f>POISSON(DA18,$C$9,FALSE)*POISSON(DC18,$D$9,FALSE)*100</f>
        <v/>
      </c>
      <c r="DE18" s="204">
        <f>RANK(DD18,$DD$5:$DD$36,0)</f>
        <v/>
      </c>
      <c r="DF18" s="0">
        <f>IF(DF13=2,3,DF13)</f>
        <v/>
      </c>
      <c r="DR18" s="0">
        <f>AVERAGE(DS18,DT18)</f>
        <v/>
      </c>
      <c r="DS18" s="0">
        <f>AVERAGE(DS6:DS10)</f>
        <v/>
      </c>
      <c r="DT18" s="0">
        <f>AVERAGE(DT6:DT10)</f>
        <v/>
      </c>
      <c r="DU18" s="0">
        <f>SUM(DS18,DT18)</f>
        <v/>
      </c>
    </row>
    <row r="19" ht="15" customHeight="1" s="276">
      <c r="C19" s="0">
        <f>COUNTIF(D19:D28,"rountime")</f>
        <v/>
      </c>
      <c r="D19" s="0">
        <f>IF(I5=1,"draw",IF(I6=1,"away",IF(I7=1,"draw",IF(I8=1,"home",IF(I9=1,"away",IF(I10=1,"away",IF(I11=1,"home",IF(I12=1,"away",IF(I13=1,"draw",IF(I14=1,"home","rountime"))))))))))</f>
        <v/>
      </c>
      <c r="E19" s="201" t="n">
        <v>3</v>
      </c>
      <c r="F19" s="202" t="inlineStr">
        <is>
          <t>:</t>
        </is>
      </c>
      <c r="G19" s="203" t="n">
        <v>3</v>
      </c>
      <c r="H19" s="192">
        <f>POISSON(E19,$C$5,FALSE)*POISSON(G19,$D$5,FALSE)*100</f>
        <v/>
      </c>
      <c r="I19" s="204">
        <f>RANK(H19,$H$5:$H$36,0)</f>
        <v/>
      </c>
      <c r="J19" s="0">
        <f>SUM(J15:J18)</f>
        <v/>
      </c>
      <c r="L19" s="0">
        <f>N7</f>
        <v/>
      </c>
      <c r="M19" s="0">
        <f>O6</f>
        <v/>
      </c>
      <c r="P19" s="0" t="inlineStr">
        <is>
          <t xml:space="preserve">Home doing </t>
        </is>
      </c>
      <c r="Q19" s="0">
        <f>S15/(S15+S53)*100</f>
        <v/>
      </c>
      <c r="S19" s="0">
        <f>IF(AND(Q22&gt;32.9,Q25&gt;21.9,Q19&gt;60),"home wind or draw",IF(AND(Q22&gt;32.9,Q25&gt;21.9,Q21&gt;60),"Away win or draw","next predict"))</f>
        <v/>
      </c>
      <c r="U19" s="0">
        <f>MAX(W19:X23)</f>
        <v/>
      </c>
      <c r="V19" s="0">
        <f>ABS(W18-X18)</f>
        <v/>
      </c>
      <c r="W19" s="0">
        <f>ABS(W6-$V$18)</f>
        <v/>
      </c>
      <c r="X19" s="0">
        <f>ABS(X6-$V$18)</f>
        <v/>
      </c>
      <c r="Y19" s="0">
        <f>X19/(X19+$V$19)*100</f>
        <v/>
      </c>
      <c r="Z19" s="0">
        <f>ABS(Y19-$Y$24)</f>
        <v/>
      </c>
      <c r="AB19" s="0">
        <f>COUNTIF(AC19:AC28,"rountime")</f>
        <v/>
      </c>
      <c r="AC19" s="0">
        <f>IF(AH5=1,"draw",IF(AH6=1,"away",IF(AH7=1,"draw",IF(AH8=1,"home",IF(AH9=1,"away",IF(AH10=1,"away",IF(AH11=1,"home",IF(AH12=1,"away",IF(AH13=1,"draw",IF(AH14=1,"home","rountime"))))))))))</f>
        <v/>
      </c>
      <c r="AD19" s="201" t="n">
        <v>3</v>
      </c>
      <c r="AE19" s="202">
        <f>AD19+AF19</f>
        <v/>
      </c>
      <c r="AF19" s="203" t="n">
        <v>3</v>
      </c>
      <c r="AG19" s="192">
        <f>POISSON(AD19,$C$6,FALSE)*POISSON(AF19,$D$6,FALSE)*100</f>
        <v/>
      </c>
      <c r="AH19" s="204">
        <f>RANK(AG19,$AG$5:$AG$36,0)</f>
        <v/>
      </c>
      <c r="AI19" s="0">
        <f>SUM(AI15:AI18)</f>
        <v/>
      </c>
      <c r="AK19" s="0">
        <f>AM7</f>
        <v/>
      </c>
      <c r="AL19" s="0">
        <f>AN6</f>
        <v/>
      </c>
      <c r="AO19" s="0" t="inlineStr">
        <is>
          <t xml:space="preserve">Home doing </t>
        </is>
      </c>
      <c r="AP19" s="0">
        <f>AR15/(AR15+AR53)*100</f>
        <v/>
      </c>
      <c r="AR19" s="0">
        <f>IF(AND(AP22&gt;32.9,AP25&gt;21.9,AP19&gt;60),"home wind or draw",IF(AND(AP22&gt;32.9,AP25&gt;21.9,AP21&gt;60),"Away win or draw","next predict"))</f>
        <v/>
      </c>
      <c r="AT19" s="0">
        <f>MAX(AV19:AW23)</f>
        <v/>
      </c>
      <c r="AU19" s="0">
        <f>ABS(AV18-AW18)</f>
        <v/>
      </c>
      <c r="AV19" s="0">
        <f>ABS(AV6-$AU$18)</f>
        <v/>
      </c>
      <c r="AW19" s="0">
        <f>ABS(AW6-$AU$18)</f>
        <v/>
      </c>
      <c r="AX19" s="0">
        <f>AW19/(AW19+$AU$19)*100</f>
        <v/>
      </c>
      <c r="AY19" s="0">
        <f>ABS(AX19-$AX$24)</f>
        <v/>
      </c>
      <c r="BA19" s="0">
        <f>COUNTIF(BB19:BB28,"rountime")</f>
        <v/>
      </c>
      <c r="BB19" s="0">
        <f>IF(BG5=1,"draw",IF(BG6=1,"away",IF(BG7=1,"draw",IF(BG8=1,"home",IF(BG9=1,"away",IF(BG10=1,"away",IF(BG11=1,"home",IF(BG12=1,"away",IF(BG13=1,"draw",IF(BG14=1,"home","rountime"))))))))))</f>
        <v/>
      </c>
      <c r="BC19" s="201" t="n">
        <v>3</v>
      </c>
      <c r="BD19" s="202" t="inlineStr">
        <is>
          <t>:</t>
        </is>
      </c>
      <c r="BE19" s="203" t="n">
        <v>3</v>
      </c>
      <c r="BF19" s="192">
        <f>POISSON(BC19,$C$7,FALSE)*POISSON(BE19,$D$7,FALSE)*100</f>
        <v/>
      </c>
      <c r="BG19" s="204">
        <f>RANK(BF19,$BF$5:$BF$36,0)</f>
        <v/>
      </c>
      <c r="BH19" s="0">
        <f>SUM(BH15:BH18)</f>
        <v/>
      </c>
      <c r="BJ19" s="0">
        <f>BL7</f>
        <v/>
      </c>
      <c r="BK19" s="0">
        <f>BM6</f>
        <v/>
      </c>
      <c r="BN19" s="0" t="inlineStr">
        <is>
          <t xml:space="preserve">Home doing </t>
        </is>
      </c>
      <c r="BO19" s="0">
        <f>BQ15/(BQ15+BQ53)*100</f>
        <v/>
      </c>
      <c r="BQ19" s="0">
        <f>IF(AND(BO22&gt;32.9,BO25&gt;21.9,BO19&gt;60),"home wind or draw",IF(AND(BO22&gt;32.9,BO25&gt;21.9,BO21&gt;60),"Away win or draw","next predict"))</f>
        <v/>
      </c>
      <c r="BS19" s="0">
        <f>MAX(BU19:BV23)</f>
        <v/>
      </c>
      <c r="BT19" s="0">
        <f>ABS(BU18-BV18)</f>
        <v/>
      </c>
      <c r="BU19" s="0">
        <f>ABS(BU6-$BT$18)</f>
        <v/>
      </c>
      <c r="BV19" s="0">
        <f>ABS(BV6-$BT$18)</f>
        <v/>
      </c>
      <c r="BW19" s="0">
        <f>BV19/(BV19+$BT$19)*100</f>
        <v/>
      </c>
      <c r="BX19" s="0">
        <f>ABS(BW19-$BW$24)</f>
        <v/>
      </c>
      <c r="BZ19" s="0">
        <f>COUNTIF(CA19:CA28,"rountime")</f>
        <v/>
      </c>
      <c r="CA19" s="0">
        <f>IF(CF5=1,"draw",IF(CF6=1,"away",IF(CF7=1,"draw",IF(CF8=1,"home",IF(CF9=1,"away",IF(CF10=1,"away",IF(CF11=1,"home",IF(CF12=1,"away",IF(CF13=1,"draw",IF(CF14=1,"home","rountime"))))))))))</f>
        <v/>
      </c>
      <c r="CB19" s="201" t="n">
        <v>3</v>
      </c>
      <c r="CC19" s="202" t="inlineStr">
        <is>
          <t>:</t>
        </is>
      </c>
      <c r="CD19" s="203" t="n">
        <v>3</v>
      </c>
      <c r="CE19" s="192">
        <f>POISSON(CB19,$C$8,FALSE)*POISSON(CD19,$D$8,FALSE)*100</f>
        <v/>
      </c>
      <c r="CF19" s="204">
        <f>RANK(CE19,$CE$5:$CE$36,0)</f>
        <v/>
      </c>
      <c r="CG19" s="0">
        <f>SUM(CG15:CG18)</f>
        <v/>
      </c>
      <c r="CM19" s="0" t="inlineStr">
        <is>
          <t xml:space="preserve">Home doing </t>
        </is>
      </c>
      <c r="CN19" s="0">
        <f>CP15/(CP15+CP53)*100</f>
        <v/>
      </c>
      <c r="CP19" s="0">
        <f>IF(AND(CN22&gt;32.9,CN25&gt;21.9,CN19&gt;60),"home wind or draw",IF(AND(CN22&gt;32.9,CN25&gt;21.9,CN21&gt;60),"Away win or draw","next predict"))</f>
        <v/>
      </c>
      <c r="CR19" s="0">
        <f>MAX(CT19:CU23)</f>
        <v/>
      </c>
      <c r="CS19" s="0">
        <f>ABS(CT18-CU18)</f>
        <v/>
      </c>
      <c r="CT19" s="0">
        <f>ABS(CT6-$CS$18)</f>
        <v/>
      </c>
      <c r="CU19" s="0">
        <f>ABS(CU6-$CS$18)</f>
        <v/>
      </c>
      <c r="CV19" s="0">
        <f>CU19/(CU19+$CS$19)*100</f>
        <v/>
      </c>
      <c r="CW19" s="0">
        <f>ABS(CV19-$CV$24)</f>
        <v/>
      </c>
      <c r="CY19" s="0">
        <f>COUNTIF(CZ19:CZ28,"rountime")</f>
        <v/>
      </c>
      <c r="CZ19" s="0">
        <f>IF(DE5=1,"draw",IF(DE6=1,"away",IF(DE7=1,"draw",IF(DE8=1,"home",IF(DE9=1,"away",IF(DE10=1,"away",IF(DE11=1,"home",IF(DE12=1,"away",IF(DE13=1,"draw",IF(DE14=1,"home","rountime"))))))))))</f>
        <v/>
      </c>
      <c r="DA19" s="201" t="n">
        <v>3</v>
      </c>
      <c r="DB19" s="202" t="inlineStr">
        <is>
          <t>:</t>
        </is>
      </c>
      <c r="DC19" s="203" t="n">
        <v>3</v>
      </c>
      <c r="DD19" s="192">
        <f>POISSON(DA19,$C$9,FALSE)*POISSON(DC19,$D$9,FALSE)*100</f>
        <v/>
      </c>
      <c r="DE19" s="204">
        <f>RANK(DD19,$DD$5:$DD$36,0)</f>
        <v/>
      </c>
      <c r="DF19" s="0">
        <f>SUM(DF15:DF18)</f>
        <v/>
      </c>
      <c r="DL19" s="0" t="inlineStr">
        <is>
          <t xml:space="preserve">Home doing </t>
        </is>
      </c>
      <c r="DM19" s="0">
        <f>DO15/(DO15+DO53)*100</f>
        <v/>
      </c>
      <c r="DO19" s="0">
        <f>IF(AND(DM22&gt;32.9,DM25&gt;21.9,DM19&gt;60),"home wind or draw",IF(AND(DM22&gt;32.9,DM25&gt;21.9,DM21&gt;60),"Away win or draw","next predict"))</f>
        <v/>
      </c>
      <c r="DQ19" s="0">
        <f>MAX(DS19:DT23)</f>
        <v/>
      </c>
      <c r="DR19" s="0">
        <f>ABS(DS18-DT18)</f>
        <v/>
      </c>
      <c r="DS19" s="0">
        <f>ABS(DS6-$DR$18)</f>
        <v/>
      </c>
      <c r="DT19" s="0">
        <f>ABS(DT6-$DR$18)</f>
        <v/>
      </c>
      <c r="DU19" s="0">
        <f>DT19/(DT19+$DR$19)*100</f>
        <v/>
      </c>
      <c r="DV19" s="0">
        <f>ABS(DU19-$CV$24)</f>
        <v/>
      </c>
    </row>
    <row r="20" ht="15" customHeight="1" s="276">
      <c r="B20" s="0">
        <f>AVERAGE(C20:C22,B58:C60)</f>
        <v/>
      </c>
      <c r="C20" s="0">
        <f>COUNTIF(D19:D28,"home")</f>
        <v/>
      </c>
      <c r="D20" s="0">
        <f>IF(I5=2,"draw",IF(I6=2,"away",IF(I7=2,"draw",IF(I8=2,"home",IF(I9=2,"away",IF(I10=2,"away",IF(I11=2,"home",IF(I12=2,"away",IF(I13=2,"draw",IF(I14=2,"home","rountime"))))))))))</f>
        <v/>
      </c>
      <c r="E20" s="201" t="n">
        <v>4</v>
      </c>
      <c r="F20" s="202" t="inlineStr">
        <is>
          <t>:</t>
        </is>
      </c>
      <c r="G20" s="203" t="n">
        <v>1</v>
      </c>
      <c r="H20" s="192">
        <f>POISSON(E20,$C$5,FALSE)*POISSON(G20,$D$5,FALSE)*100</f>
        <v/>
      </c>
      <c r="I20" s="204">
        <f>RANK(H20,$H$5:$H$36,0)</f>
        <v/>
      </c>
      <c r="J20" s="0">
        <f>IF(J5&gt;J43,"yes",IF(J5=J43,"equal","no"))</f>
        <v/>
      </c>
      <c r="L20" s="0">
        <f>N8</f>
        <v/>
      </c>
      <c r="M20" s="0">
        <f>P6</f>
        <v/>
      </c>
      <c r="P20" s="0" t="inlineStr">
        <is>
          <t>truner</t>
        </is>
      </c>
      <c r="Q20" s="0">
        <f>IF(S15&lt;S53,S15/(S15+S53)*100,S53/(S53+S15)*100)</f>
        <v/>
      </c>
      <c r="U20" s="0">
        <f>W21</f>
        <v/>
      </c>
      <c r="V20" s="0">
        <f>MIN(W19:X23)</f>
        <v/>
      </c>
      <c r="W20" s="0">
        <f>ABS(W7-$V$18)</f>
        <v/>
      </c>
      <c r="X20" s="0">
        <f>ABS(X7-$V$18)</f>
        <v/>
      </c>
      <c r="Y20" s="0">
        <f>X20/(X20+$V$19)*100</f>
        <v/>
      </c>
      <c r="Z20" s="0">
        <f>ABS(Y20-$Y$24)</f>
        <v/>
      </c>
      <c r="AA20" s="0">
        <f>AVERAGE(AB20:AB22,AA58:AB60)</f>
        <v/>
      </c>
      <c r="AB20" s="0">
        <f>COUNTIF(AC19:AC28,"home")</f>
        <v/>
      </c>
      <c r="AC20" s="0">
        <f>IF(AH5=2,"draw",IF(AH6=2,"away",IF(AH7=2,"draw",IF(AH8=2,"home",IF(AH9=2,"away",IF(AH10=2,"away",IF(AH11=2,"home",IF(AH12=2,"away",IF(AH13=2,"draw",IF(AH14=2,"home","rountime"))))))))))</f>
        <v/>
      </c>
      <c r="AD20" s="201" t="n">
        <v>4</v>
      </c>
      <c r="AE20" s="202">
        <f>AD20+AF20</f>
        <v/>
      </c>
      <c r="AF20" s="203" t="n">
        <v>1</v>
      </c>
      <c r="AG20" s="192">
        <f>POISSON(AD20,$C$6,FALSE)*POISSON(AF20,$D$6,FALSE)*100</f>
        <v/>
      </c>
      <c r="AH20" s="204">
        <f>RANK(AG20,$AG$5:$AG$36,0)</f>
        <v/>
      </c>
      <c r="AI20" s="0">
        <f>IF(AI5&gt;AI43,"yes",IF(AI5=AI43,"equal","no"))</f>
        <v/>
      </c>
      <c r="AK20" s="0">
        <f>AM8</f>
        <v/>
      </c>
      <c r="AL20" s="0">
        <f>AO6</f>
        <v/>
      </c>
      <c r="AO20" s="0" t="inlineStr">
        <is>
          <t>truner</t>
        </is>
      </c>
      <c r="AP20" s="0">
        <f>IF(AR15&lt;AR53,AR15/(AR15+AR53)*100,AR53/(AR53+AR15)*100)</f>
        <v/>
      </c>
      <c r="AT20" s="0">
        <f>AV21</f>
        <v/>
      </c>
      <c r="AU20" s="0">
        <f>MIN(AV19:AW23)</f>
        <v/>
      </c>
      <c r="AV20" s="0">
        <f>ABS(AV7-$AU$18)</f>
        <v/>
      </c>
      <c r="AW20" s="0">
        <f>ABS(AW7-$AU$18)</f>
        <v/>
      </c>
      <c r="AX20" s="0">
        <f>AW20/(AW20+$AU$19)*100</f>
        <v/>
      </c>
      <c r="AY20" s="0">
        <f>ABS(AX20-$AX$24)</f>
        <v/>
      </c>
      <c r="AZ20" s="0">
        <f>AVERAGE(BA20:BA22,AZ58:BA60)</f>
        <v/>
      </c>
      <c r="BA20" s="0">
        <f>COUNTIF(BB19:BB28,"home")</f>
        <v/>
      </c>
      <c r="BB20" s="0">
        <f>IF(BG5=2,"draw",IF(BG6=2,"away",IF(BG7=2,"draw",IF(BG8=2,"home",IF(BG9=2,"away",IF(BG10=2,"away",IF(BG11=2,"home",IF(BG12=2,"away",IF(BG13=2,"draw",IF(BG14=2,"home","rountime"))))))))))</f>
        <v/>
      </c>
      <c r="BC20" s="201" t="n">
        <v>4</v>
      </c>
      <c r="BD20" s="202" t="inlineStr">
        <is>
          <t>:</t>
        </is>
      </c>
      <c r="BE20" s="203" t="n">
        <v>1</v>
      </c>
      <c r="BF20" s="192">
        <f>POISSON(BC20,$C$7,FALSE)*POISSON(BE20,$D$7,FALSE)*100</f>
        <v/>
      </c>
      <c r="BG20" s="204">
        <f>RANK(BF20,$BF$5:$BF$36,0)</f>
        <v/>
      </c>
      <c r="BH20" s="0">
        <f>IF(BH5&gt;BH43,"yes",IF(BH5=BH43,"equal","no"))</f>
        <v/>
      </c>
      <c r="BJ20" s="0">
        <f>BL8</f>
        <v/>
      </c>
      <c r="BK20" s="0">
        <f>BN6</f>
        <v/>
      </c>
      <c r="BN20" s="0" t="inlineStr">
        <is>
          <t>truner</t>
        </is>
      </c>
      <c r="BO20" s="0">
        <f>IF(BQ15&lt;BQ53,BQ15/(BQ15+BQ53)*100,BQ53/(BQ53+BQ15)*100)</f>
        <v/>
      </c>
      <c r="BS20" s="0">
        <f>BU21</f>
        <v/>
      </c>
      <c r="BT20" s="0">
        <f>MIN(BU19:BV23)</f>
        <v/>
      </c>
      <c r="BU20" s="0">
        <f>ABS(BU7-$BT$18)</f>
        <v/>
      </c>
      <c r="BV20" s="0">
        <f>ABS(BV7-$BT$18)</f>
        <v/>
      </c>
      <c r="BW20" s="0">
        <f>BV20/(BV20+$BT$19)*100</f>
        <v/>
      </c>
      <c r="BX20" s="0">
        <f>ABS(BW20-$BW$24)</f>
        <v/>
      </c>
      <c r="BZ20" s="0">
        <f>COUNTIF(CA19:CA28,"home")</f>
        <v/>
      </c>
      <c r="CA20" s="0">
        <f>IF(CF5=2,"draw",IF(CF6=2,"away",IF(CF7=2,"draw",IF(CF8=2,"home",IF(CF9=2,"away",IF(CF10=2,"away",IF(CF11=2,"home",IF(CF12=2,"away",IF(CF13=2,"draw",IF(CF14=2,"home","rountime"))))))))))</f>
        <v/>
      </c>
      <c r="CB20" s="201" t="n">
        <v>4</v>
      </c>
      <c r="CC20" s="202" t="inlineStr">
        <is>
          <t>:</t>
        </is>
      </c>
      <c r="CD20" s="203" t="n">
        <v>1</v>
      </c>
      <c r="CE20" s="192">
        <f>POISSON(CB20,$C$8,FALSE)*POISSON(CD20,$D$8,FALSE)*100</f>
        <v/>
      </c>
      <c r="CF20" s="204">
        <f>RANK(CE20,$CE$5:$CE$36,0)</f>
        <v/>
      </c>
      <c r="CG20" s="0">
        <f>IF(CG5&gt;CG43,"yes",IF(CG5=CG43,"equal","no"))</f>
        <v/>
      </c>
      <c r="CM20" s="0" t="inlineStr">
        <is>
          <t>truner</t>
        </is>
      </c>
      <c r="CN20" s="0">
        <f>IF(CP15&lt;CP53,CP15/(CP15+CP53)*100,CP53/(CP53+CP15)*100)</f>
        <v/>
      </c>
      <c r="CR20" s="0">
        <f>CT21</f>
        <v/>
      </c>
      <c r="CS20" s="0">
        <f>MIN(CT19:CU23)</f>
        <v/>
      </c>
      <c r="CT20" s="0">
        <f>ABS(CT7-$CS$18)</f>
        <v/>
      </c>
      <c r="CU20" s="0">
        <f>ABS(CU7-$CS$18)</f>
        <v/>
      </c>
      <c r="CV20" s="0">
        <f>CU20/(CU20+$CS$19)*100</f>
        <v/>
      </c>
      <c r="CW20" s="0">
        <f>ABS(CV20-$CV$24)</f>
        <v/>
      </c>
      <c r="CY20" s="0">
        <f>COUNTIF(CZ19:CZ28,"home")</f>
        <v/>
      </c>
      <c r="CZ20" s="0">
        <f>IF(DE5=2,"draw",IF(DE6=2,"away",IF(DE7=2,"draw",IF(DE8=2,"home",IF(DE9=2,"away",IF(DE10=2,"away",IF(DE11=2,"home",IF(DE12=2,"away",IF(DE13=2,"draw",IF(DE14=2,"home","rountime"))))))))))</f>
        <v/>
      </c>
      <c r="DA20" s="201" t="n">
        <v>4</v>
      </c>
      <c r="DB20" s="202" t="inlineStr">
        <is>
          <t>:</t>
        </is>
      </c>
      <c r="DC20" s="203" t="n">
        <v>1</v>
      </c>
      <c r="DD20" s="192">
        <f>POISSON(DA20,$C$9,FALSE)*POISSON(DC20,$D$9,FALSE)*100</f>
        <v/>
      </c>
      <c r="DE20" s="204">
        <f>RANK(DD20,$DD$5:$DD$36,0)</f>
        <v/>
      </c>
      <c r="DF20" s="0">
        <f>IF(DF5&gt;DF43,"yes",IF(DF5=DF43,"equal","no"))</f>
        <v/>
      </c>
      <c r="DL20" s="0" t="inlineStr">
        <is>
          <t>truner</t>
        </is>
      </c>
      <c r="DM20" s="0">
        <f>IF(DO15&lt;DO53,DO15/(DO15+DO53)*100,DO53/(DO53+DO15)*100)</f>
        <v/>
      </c>
      <c r="DQ20" s="0">
        <f>DS21</f>
        <v/>
      </c>
      <c r="DR20" s="0">
        <f>MIN(DS19:DT23)</f>
        <v/>
      </c>
      <c r="DS20" s="0">
        <f>ABS(DS7-$DR$18)</f>
        <v/>
      </c>
      <c r="DT20" s="0">
        <f>ABS(DT7-$DR$18)</f>
        <v/>
      </c>
      <c r="DU20" s="0">
        <f>DT20/(DT20+$DR$19)*100</f>
        <v/>
      </c>
      <c r="DV20" s="0">
        <f>ABS(DU20-$BW$24)</f>
        <v/>
      </c>
    </row>
    <row r="21" ht="15.75" customHeight="1" s="276">
      <c r="C21" s="0">
        <f>COUNTIF(D19:D28,"draw")</f>
        <v/>
      </c>
      <c r="D21" s="0">
        <f>IF(I5=3,"draw",IF(I6=3,"away",IF(I7=3,"draw",IF(I8=3,"home",IF(I9=3,"away",IF(I10=3,"away",IF(I11=3,"home",IF(I12=3,"away",IF(I13=3,"draw",IF(I14=3,"home","rountime"))))))))))</f>
        <v/>
      </c>
      <c r="E21" s="201" t="n">
        <v>4</v>
      </c>
      <c r="F21" s="202" t="inlineStr">
        <is>
          <t>:</t>
        </is>
      </c>
      <c r="G21" s="203" t="n">
        <v>0</v>
      </c>
      <c r="H21" s="192">
        <f>POISSON(E21,$C$5,FALSE)*POISSON(G21,$D$5,FALSE)*100</f>
        <v/>
      </c>
      <c r="I21" s="204">
        <f>RANK(H21,$H$5:$H$36,0)</f>
        <v/>
      </c>
      <c r="J21" s="0">
        <f>COUNTIF(J15:J18,MIN(1))</f>
        <v/>
      </c>
      <c r="L21" s="0">
        <f>N9</f>
        <v/>
      </c>
      <c r="M21" s="0">
        <f>P7</f>
        <v/>
      </c>
      <c r="P21" s="0" t="inlineStr">
        <is>
          <t>Away doing</t>
        </is>
      </c>
      <c r="Q21" s="0">
        <f>S53/(S53+S15)*100</f>
        <v/>
      </c>
      <c r="U21" s="0">
        <f>U20/(V19+U20)*100</f>
        <v/>
      </c>
      <c r="V21" s="0">
        <f>V20/(V20+V19)*100</f>
        <v/>
      </c>
      <c r="W21" s="0">
        <f>ABS(W8-$V$18)</f>
        <v/>
      </c>
      <c r="X21" s="0">
        <f>ABS(X8-$V$18)</f>
        <v/>
      </c>
      <c r="Y21" s="0">
        <f>X21/(X21+$V$19)*100</f>
        <v/>
      </c>
      <c r="Z21" s="0">
        <f>ABS(Y21-$Y$24)</f>
        <v/>
      </c>
      <c r="AB21" s="0">
        <f>COUNTIF(AC19:AC28,"draw")</f>
        <v/>
      </c>
      <c r="AC21" s="0">
        <f>IF(AH5=3,"draw",IF(AH6=3,"away",IF(AH7=3,"draw",IF(AH8=3,"home",IF(AH9=3,"away",IF(AH10=3,"away",IF(AH11=3,"home",IF(AH12=3,"away",IF(AH13=3,"draw",IF(AH14=3,"home","rountime"))))))))))</f>
        <v/>
      </c>
      <c r="AD21" s="201" t="n">
        <v>4</v>
      </c>
      <c r="AE21" s="202">
        <f>AD21+AF21</f>
        <v/>
      </c>
      <c r="AF21" s="203" t="n">
        <v>0</v>
      </c>
      <c r="AG21" s="192">
        <f>POISSON(AD21,$C$6,FALSE)*POISSON(AF21,$D$6,FALSE)*100</f>
        <v/>
      </c>
      <c r="AH21" s="204">
        <f>RANK(AG21,$AG$5:$AG$36,0)</f>
        <v/>
      </c>
      <c r="AI21" s="0">
        <f>COUNTIF(AI15:AI18,MIN(1))</f>
        <v/>
      </c>
      <c r="AK21" s="0">
        <f>AM9</f>
        <v/>
      </c>
      <c r="AL21" s="0">
        <f>AO7</f>
        <v/>
      </c>
      <c r="AO21" s="0" t="inlineStr">
        <is>
          <t>Away doing</t>
        </is>
      </c>
      <c r="AP21" s="0">
        <f>AR53/(AR53+AR15)*100</f>
        <v/>
      </c>
      <c r="AT21" s="0">
        <f>AT20/(AU19+AT20)*100</f>
        <v/>
      </c>
      <c r="AU21" s="0">
        <f>AU20/(AU20+AU19)*100</f>
        <v/>
      </c>
      <c r="AV21" s="0">
        <f>ABS(AV8-$AU$18)</f>
        <v/>
      </c>
      <c r="AW21" s="0">
        <f>ABS(AW8-$AU$18)</f>
        <v/>
      </c>
      <c r="AX21" s="0">
        <f>AW21/(AW21+$AU$19)*100</f>
        <v/>
      </c>
      <c r="AY21" s="0">
        <f>ABS(AX21-$AX$24)</f>
        <v/>
      </c>
      <c r="BA21" s="0">
        <f>COUNTIF(BB19:BB28,"draw")</f>
        <v/>
      </c>
      <c r="BB21" s="0">
        <f>IF(BG5=3,"draw",IF(BG6=3,"away",IF(BG7=3,"draw",IF(BG8=3,"home",IF(BG9=3,"away",IF(BG10=3,"away",IF(BG11=3,"home",IF(BG12=3,"away",IF(BG13=3,"draw",IF(BG14=3,"home","rountime"))))))))))</f>
        <v/>
      </c>
      <c r="BC21" s="201" t="n">
        <v>4</v>
      </c>
      <c r="BD21" s="202" t="inlineStr">
        <is>
          <t>:</t>
        </is>
      </c>
      <c r="BE21" s="203" t="n">
        <v>0</v>
      </c>
      <c r="BF21" s="192">
        <f>POISSON(BC21,$C$7,FALSE)*POISSON(BE21,$D$7,FALSE)*100</f>
        <v/>
      </c>
      <c r="BG21" s="204">
        <f>RANK(BF21,$BF$5:$BF$36,0)</f>
        <v/>
      </c>
      <c r="BH21" s="0">
        <f>COUNTIF(BH15:BH18,MIN(1))</f>
        <v/>
      </c>
      <c r="BJ21" s="0">
        <f>BL9</f>
        <v/>
      </c>
      <c r="BK21" s="0">
        <f>BN7</f>
        <v/>
      </c>
      <c r="BN21" s="0" t="inlineStr">
        <is>
          <t>Away doing</t>
        </is>
      </c>
      <c r="BO21" s="0">
        <f>BQ53/(BQ53+BQ15)*100</f>
        <v/>
      </c>
      <c r="BS21" s="0">
        <f>BS20/(BT19+BS20)*100</f>
        <v/>
      </c>
      <c r="BT21" s="0">
        <f>BT20/(BT20+BT19)*100</f>
        <v/>
      </c>
      <c r="BU21" s="0">
        <f>ABS(BU8-$BT$18)</f>
        <v/>
      </c>
      <c r="BV21" s="0">
        <f>ABS(BV8-$BT$18)</f>
        <v/>
      </c>
      <c r="BW21" s="0">
        <f>BV21/(BV21+$BT$19)*100</f>
        <v/>
      </c>
      <c r="BX21" s="0">
        <f>ABS(BW21-$BW$24)</f>
        <v/>
      </c>
      <c r="BZ21" s="0">
        <f>COUNTIF(CA19:CA28,"draw")</f>
        <v/>
      </c>
      <c r="CA21" s="0">
        <f>IF(CF5=3,"draw",IF(CF6=3,"away",IF(CF7=3,"draw",IF(CF8=3,"home",IF(CF9=3,"away",IF(CF10=3,"away",IF(CF11=3,"home",IF(CF12=3,"away",IF(CF13=3,"draw",IF(CF14=3,"home","rountime"))))))))))</f>
        <v/>
      </c>
      <c r="CB21" s="201" t="n">
        <v>4</v>
      </c>
      <c r="CC21" s="202" t="inlineStr">
        <is>
          <t>:</t>
        </is>
      </c>
      <c r="CD21" s="203" t="n">
        <v>0</v>
      </c>
      <c r="CE21" s="192">
        <f>POISSON(CB21,$C$8,FALSE)*POISSON(CD21,$D$8,FALSE)*100</f>
        <v/>
      </c>
      <c r="CF21" s="204">
        <f>RANK(CE21,$CE$5:$CE$36,0)</f>
        <v/>
      </c>
      <c r="CG21" s="0">
        <f>COUNTIF(CG15:CG18,MIN(1))</f>
        <v/>
      </c>
      <c r="CM21" s="0" t="inlineStr">
        <is>
          <t>Away doing</t>
        </is>
      </c>
      <c r="CN21" s="0">
        <f>CP53/(CP53+CP15)*100</f>
        <v/>
      </c>
      <c r="CR21" s="0">
        <f>CR20/(CS19+CR20)*100</f>
        <v/>
      </c>
      <c r="CS21" s="0">
        <f>CS20/(CS20+CS19)*100</f>
        <v/>
      </c>
      <c r="CT21" s="0">
        <f>ABS(CT8-$CS$18)</f>
        <v/>
      </c>
      <c r="CU21" s="0">
        <f>ABS(CU8-$CS$18)</f>
        <v/>
      </c>
      <c r="CV21" s="0">
        <f>CU21/(CU21+$CS$19)*100</f>
        <v/>
      </c>
      <c r="CW21" s="0">
        <f>ABS(CV21-$CV$24)</f>
        <v/>
      </c>
      <c r="CY21" s="0">
        <f>COUNTIF(CZ19:CZ28,"draw")</f>
        <v/>
      </c>
      <c r="CZ21" s="0">
        <f>IF(DE5=3,"draw",IF(DE6=3,"away",IF(DE7=3,"draw",IF(DE8=3,"home",IF(DE9=3,"away",IF(DE10=3,"away",IF(DE11=3,"home",IF(DE12=3,"away",IF(DE13=3,"draw",IF(DE14=3,"home","rountime"))))))))))</f>
        <v/>
      </c>
      <c r="DA21" s="201" t="n">
        <v>4</v>
      </c>
      <c r="DB21" s="202" t="inlineStr">
        <is>
          <t>:</t>
        </is>
      </c>
      <c r="DC21" s="203" t="n">
        <v>0</v>
      </c>
      <c r="DD21" s="192">
        <f>POISSON(DA21,$C$9,FALSE)*POISSON(DC21,$D$9,FALSE)*100</f>
        <v/>
      </c>
      <c r="DE21" s="204">
        <f>RANK(DD21,$DD$5:$DD$36,0)</f>
        <v/>
      </c>
      <c r="DF21" s="0">
        <f>COUNTIF(DF15:DF18,MIN(1))</f>
        <v/>
      </c>
      <c r="DL21" s="0" t="inlineStr">
        <is>
          <t>Away doing</t>
        </is>
      </c>
      <c r="DM21" s="0">
        <f>DO53/(DO53+DO15)*100</f>
        <v/>
      </c>
      <c r="DQ21" s="0">
        <f>DQ20/(DR19+DQ20)*100</f>
        <v/>
      </c>
      <c r="DR21" s="0">
        <f>DR20/(DR20+DR19)*100</f>
        <v/>
      </c>
      <c r="DS21" s="0">
        <f>ABS(DS8-$DR$18)</f>
        <v/>
      </c>
      <c r="DT21" s="0">
        <f>ABS(DT8-$DR$18)</f>
        <v/>
      </c>
      <c r="DU21" s="0">
        <f>DT21/(DT21+$DR$19)*100</f>
        <v/>
      </c>
      <c r="DV21" s="0">
        <f>ABS(DU21-$BW$24)</f>
        <v/>
      </c>
    </row>
    <row r="22" ht="14.25" customHeight="1" s="276">
      <c r="C22" s="0">
        <f>COUNTIF(D19:D28,"away")</f>
        <v/>
      </c>
      <c r="D22" s="0">
        <f>IF(I5=4,"draw",IF(I6=4,"away",IF(I7=4,"draw",IF(I8=4,"home",IF(I9=4,"away",IF(I10=4,"away",IF(I11=4,"home",IF(I12=4,"away",IF(I13=4,"draw",IF(I14=4,"home","rountime"))))))))))</f>
        <v/>
      </c>
      <c r="E22" s="201" t="n">
        <v>4</v>
      </c>
      <c r="F22" s="202" t="inlineStr">
        <is>
          <t>:</t>
        </is>
      </c>
      <c r="G22" s="203" t="n">
        <v>2</v>
      </c>
      <c r="H22" s="192">
        <f>POISSON(E22,$C$5,FALSE)*POISSON(G22,$D$5,FALSE)*100</f>
        <v/>
      </c>
      <c r="I22" s="204">
        <f>RANK(H22,$H$5:$H$36,0)</f>
        <v/>
      </c>
      <c r="J22" s="0">
        <f>COUNTIF(J10:J13,3)</f>
        <v/>
      </c>
      <c r="L22" s="0">
        <f>N10</f>
        <v/>
      </c>
      <c r="M22" s="0">
        <f>Q6</f>
        <v/>
      </c>
      <c r="P22" s="0" t="inlineStr">
        <is>
          <t>averagPE</t>
        </is>
      </c>
      <c r="Q22" s="220">
        <f>AVERAGE(S15,S53)*100</f>
        <v/>
      </c>
      <c r="U22" s="0">
        <f>IF(Z24=Z19,0.5,IF(Z24=Z20,1.5,IF(Z24=Z21,2.5,IF(Z24=Z22,3.5,IF(Z24=Z23,3.5)))))</f>
        <v/>
      </c>
      <c r="V22" s="0">
        <f>(V20/V19)*100</f>
        <v/>
      </c>
      <c r="W22" s="0">
        <f>ABS(W9-$V$18)</f>
        <v/>
      </c>
      <c r="X22" s="0">
        <f>ABS(X9-$V$18)</f>
        <v/>
      </c>
      <c r="Y22" s="0">
        <f>X22/(X22+$V$19)*100</f>
        <v/>
      </c>
      <c r="Z22" s="0">
        <f>ABS(Y22-$Y$24)</f>
        <v/>
      </c>
      <c r="AB22" s="0">
        <f>COUNTIF(AC19:AC28,"away")</f>
        <v/>
      </c>
      <c r="AC22" s="0">
        <f>IF(AH5=4,"draw",IF(AH6=4,"away",IF(AH7=4,"draw",IF(AH8=4,"home",IF(AH9=4,"away",IF(AH10=4,"away",IF(AH11=4,"home",IF(AH12=4,"away",IF(AH13=4,"draw",IF(AH14=4,"home","rountime"))))))))))</f>
        <v/>
      </c>
      <c r="AD22" s="201" t="n">
        <v>4</v>
      </c>
      <c r="AE22" s="202">
        <f>AD22+AF22</f>
        <v/>
      </c>
      <c r="AF22" s="203" t="n">
        <v>2</v>
      </c>
      <c r="AG22" s="192">
        <f>POISSON(AD22,$C$6,FALSE)*POISSON(AF22,$D$6,FALSE)*100</f>
        <v/>
      </c>
      <c r="AH22" s="204">
        <f>RANK(AG22,$AG$5:$AG$36,0)</f>
        <v/>
      </c>
      <c r="AI22" s="0">
        <f>COUNTIF(AI10:AI13,3)</f>
        <v/>
      </c>
      <c r="AK22" s="0">
        <f>AM10</f>
        <v/>
      </c>
      <c r="AL22" s="0">
        <f>AP6</f>
        <v/>
      </c>
      <c r="AO22" s="0" t="inlineStr">
        <is>
          <t>averagPE</t>
        </is>
      </c>
      <c r="AP22" s="220">
        <f>AVERAGE(AR15,AR53)*100</f>
        <v/>
      </c>
      <c r="AT22" s="0">
        <f>IF(AY24=AY19,0.5,IF(AY24=AY20,1.5,IF(AY24=AY21,2.5,IF(AY24=AY22,3.5,IF(AY24=AY23,3.5)))))</f>
        <v/>
      </c>
      <c r="AU22" s="0">
        <f>(AU20/AU19)*100</f>
        <v/>
      </c>
      <c r="AV22" s="0">
        <f>ABS(AV9-$AU$18)</f>
        <v/>
      </c>
      <c r="AW22" s="0">
        <f>ABS(AW9-$AU$18)</f>
        <v/>
      </c>
      <c r="AX22" s="0">
        <f>AW22/(AW22+$AU$19)*100</f>
        <v/>
      </c>
      <c r="AY22" s="0">
        <f>ABS(AX22-$AX$24)</f>
        <v/>
      </c>
      <c r="BA22" s="0">
        <f>COUNTIF(BB19:BB28,"away")</f>
        <v/>
      </c>
      <c r="BB22" s="0">
        <f>IF(BG5=4,"draw",IF(BG6=4,"away",IF(BG7=4,"draw",IF(BG8=4,"home",IF(BG9=4,"away",IF(BG10=4,"away",IF(BG11=4,"home",IF(BG12=4,"away",IF(BG13=4,"draw",IF(BG14=4,"home","rountime"))))))))))</f>
        <v/>
      </c>
      <c r="BC22" s="201" t="n">
        <v>4</v>
      </c>
      <c r="BD22" s="202" t="inlineStr">
        <is>
          <t>:</t>
        </is>
      </c>
      <c r="BE22" s="203" t="n">
        <v>2</v>
      </c>
      <c r="BF22" s="192">
        <f>POISSON(BC22,$C$7,FALSE)*POISSON(BE22,$D$7,FALSE)*100</f>
        <v/>
      </c>
      <c r="BG22" s="204">
        <f>RANK(BF22,$BF$5:$BF$36,0)</f>
        <v/>
      </c>
      <c r="BH22" s="0">
        <f>COUNTIF(BH10:BH13,3)</f>
        <v/>
      </c>
      <c r="BJ22" s="0">
        <f>BL10</f>
        <v/>
      </c>
      <c r="BK22" s="0">
        <f>BO6</f>
        <v/>
      </c>
      <c r="BN22" s="0" t="inlineStr">
        <is>
          <t>averagPE</t>
        </is>
      </c>
      <c r="BO22" s="220">
        <f>AVERAGE(BQ15,BQ53)*100</f>
        <v/>
      </c>
      <c r="BS22" s="0">
        <f>IF(BX24=BX19,0.5,IF(BX24=BX20,1.5,IF(BX24=BX21,2.5,IF(BX24=BX22,3.5,IF(BX24=BX23,3.5)))))</f>
        <v/>
      </c>
      <c r="BT22" s="0">
        <f>(BT20/BT19)*100</f>
        <v/>
      </c>
      <c r="BU22" s="0">
        <f>ABS(BU9-$BT$18)</f>
        <v/>
      </c>
      <c r="BV22" s="0">
        <f>ABS(BV9-$BT$18)</f>
        <v/>
      </c>
      <c r="BW22" s="0">
        <f>BV22/(BV22+$BT$19)*100</f>
        <v/>
      </c>
      <c r="BX22" s="0">
        <f>ABS(BW22-$BW$24)</f>
        <v/>
      </c>
      <c r="BZ22" s="0">
        <f>COUNTIF(CA19:CA28,"away")</f>
        <v/>
      </c>
      <c r="CA22" s="0">
        <f>IF(CF5=4,"draw",IF(CF6=4,"away",IF(CF7=4,"draw",IF(CF8=4,"home",IF(CF9=4,"away",IF(CF10=4,"away",IF(CF11=4,"home",IF(CF12=4,"away",IF(CF13=4,"draw",IF(CF14=4,"home","rountime"))))))))))</f>
        <v/>
      </c>
      <c r="CB22" s="201" t="n">
        <v>4</v>
      </c>
      <c r="CC22" s="202" t="inlineStr">
        <is>
          <t>:</t>
        </is>
      </c>
      <c r="CD22" s="203" t="n">
        <v>2</v>
      </c>
      <c r="CE22" s="192">
        <f>POISSON(CB22,$C$8,FALSE)*POISSON(CD22,$D$8,FALSE)*100</f>
        <v/>
      </c>
      <c r="CF22" s="204">
        <f>RANK(CE22,$CE$5:$CE$36,0)</f>
        <v/>
      </c>
      <c r="CG22" s="0">
        <f>COUNTIF(CG10:CG13,3)</f>
        <v/>
      </c>
      <c r="CM22" s="0" t="inlineStr">
        <is>
          <t>averagPE</t>
        </is>
      </c>
      <c r="CN22" s="220">
        <f>AVERAGE(CP15,CP53)*100</f>
        <v/>
      </c>
      <c r="CR22" s="0">
        <f>IF(CW24=CW19,0.5,IF(CW24=CW20,1.5,IF(CW24=CW21,2.5,IF(CW24=CW22,3.5,IF(CW24=CW23,3.5)))))</f>
        <v/>
      </c>
      <c r="CS22" s="0">
        <f>(CS20/CS19)*100</f>
        <v/>
      </c>
      <c r="CT22" s="0">
        <f>ABS(CT9-$CS$18)</f>
        <v/>
      </c>
      <c r="CU22" s="0">
        <f>ABS(CU9-$CS$18)</f>
        <v/>
      </c>
      <c r="CV22" s="0">
        <f>CU22/(CU22+$CS$19)*100</f>
        <v/>
      </c>
      <c r="CW22" s="0">
        <f>ABS(CV22-$CV$24)</f>
        <v/>
      </c>
      <c r="CY22" s="0">
        <f>COUNTIF(CZ19:CZ28,"away")</f>
        <v/>
      </c>
      <c r="CZ22" s="0">
        <f>IF(DE5=4,"draw",IF(DE6=4,"away",IF(DE7=4,"draw",IF(DE8=4,"home",IF(DE9=4,"away",IF(DE10=4,"away",IF(DE11=4,"home",IF(DE12=4,"away",IF(DE13=4,"draw",IF(DE14=4,"home","rountime"))))))))))</f>
        <v/>
      </c>
      <c r="DA22" s="201" t="n">
        <v>4</v>
      </c>
      <c r="DB22" s="202" t="inlineStr">
        <is>
          <t>:</t>
        </is>
      </c>
      <c r="DC22" s="203" t="n">
        <v>2</v>
      </c>
      <c r="DD22" s="192">
        <f>POISSON(DA22,$C$9,FALSE)*POISSON(DC22,$D$9,FALSE)*100</f>
        <v/>
      </c>
      <c r="DE22" s="204">
        <f>RANK(DD22,$DD$5:$DD$36,0)</f>
        <v/>
      </c>
      <c r="DF22" s="0">
        <f>COUNTIF(DF10:DF13,3)</f>
        <v/>
      </c>
      <c r="DL22" s="0" t="inlineStr">
        <is>
          <t>averagPE</t>
        </is>
      </c>
      <c r="DM22" s="220">
        <f>AVERAGE(DO15,DO53)*100</f>
        <v/>
      </c>
      <c r="DQ22" s="0">
        <f>IF(DV24=DV19,0.5,IF(DV24=DV20,1.5,IF(DV24=DV21,2.5,IF(DV24=DV22,3.5,IF(DV24=DV23,3.5)))))</f>
        <v/>
      </c>
      <c r="DR22" s="0">
        <f>(DR20/DR19)*100</f>
        <v/>
      </c>
      <c r="DS22" s="0">
        <f>ABS(DS9-$DR$18)</f>
        <v/>
      </c>
      <c r="DT22" s="0">
        <f>ABS(DT9-$DR$18)</f>
        <v/>
      </c>
      <c r="DU22" s="0">
        <f>DT22/(DT22+$DR$19)*100</f>
        <v/>
      </c>
      <c r="DV22" s="0">
        <f>ABS(DU22-$BW$24)</f>
        <v/>
      </c>
    </row>
    <row r="23" ht="15.75" customHeight="1" s="276">
      <c r="C23" s="0">
        <f>(C20+C60)/2</f>
        <v/>
      </c>
      <c r="D23" s="0">
        <f>IF(I5=5,"draw",IF(I6=5,"away",IF(I7=5,"draw",IF(I8=5,"home",IF(I9=5,"away",IF(I10=5,"away",IF(I11=5,"home",IF(I12=5,"away",IF(I13=5,"draw",IF(I14=5,"home","rountime"))))))))))</f>
        <v/>
      </c>
      <c r="E23" s="201" t="n">
        <v>3</v>
      </c>
      <c r="F23" s="202" t="inlineStr">
        <is>
          <t>:</t>
        </is>
      </c>
      <c r="G23" s="203" t="n">
        <v>4</v>
      </c>
      <c r="H23" s="192">
        <f>POISSON(E23,$C$5,FALSE)*POISSON(G23,$D$5,FALSE)*100</f>
        <v/>
      </c>
      <c r="I23" s="204">
        <f>RANK(H23,$H$5:$H$36,0)</f>
        <v/>
      </c>
      <c r="J23" s="0">
        <f>COUNTIF(J10:J13,2)</f>
        <v/>
      </c>
      <c r="L23" s="0">
        <f>N11</f>
        <v/>
      </c>
      <c r="M23" s="0">
        <f>Q7</f>
        <v/>
      </c>
      <c r="P23" s="221" t="inlineStr">
        <is>
          <t xml:space="preserve">selector </t>
        </is>
      </c>
      <c r="Q23" s="221">
        <f>S15-S53</f>
        <v/>
      </c>
      <c r="R23" s="221">
        <f>IF(Q23&lt;0,"best Tab 2","Best Tab 1")</f>
        <v/>
      </c>
      <c r="S23" s="221">
        <f>(Q23/Q16)*100</f>
        <v/>
      </c>
      <c r="U23" s="0">
        <f>IF(ABS(V22-R38)&lt;15,"goals",IF(V22=MIN(V22,R38),"Goals","wins"))</f>
        <v/>
      </c>
      <c r="V23" s="0">
        <f>IF(V24=W18,"under","over")</f>
        <v/>
      </c>
      <c r="W23" s="0">
        <f>ABS(W10-$V$18)</f>
        <v/>
      </c>
      <c r="X23" s="0">
        <f>ABS(X10-$V$18)</f>
        <v/>
      </c>
      <c r="Y23" s="0">
        <f>X23/(X23+$V$19)*100</f>
        <v/>
      </c>
      <c r="Z23" s="0">
        <f>ABS(Y23-$Y$24)</f>
        <v/>
      </c>
      <c r="AB23" s="0">
        <f>(AB20+AB60)/2</f>
        <v/>
      </c>
      <c r="AC23" s="0">
        <f>IF(AH5=5,"draw",IF(AH6=5,"away",IF(AH7=5,"draw",IF(AH8=5,"home",IF(AH9=5,"away",IF(AH10=5,"away",IF(AH11=5,"home",IF(AH12=5,"away",IF(AH13=5,"draw",IF(AH14=5,"home","rountime"))))))))))</f>
        <v/>
      </c>
      <c r="AD23" s="201" t="n">
        <v>3</v>
      </c>
      <c r="AE23" s="202">
        <f>AD23+AF23</f>
        <v/>
      </c>
      <c r="AF23" s="203" t="n">
        <v>4</v>
      </c>
      <c r="AG23" s="192">
        <f>POISSON(AD23,$C$6,FALSE)*POISSON(AF23,$D$6,FALSE)*100</f>
        <v/>
      </c>
      <c r="AH23" s="204">
        <f>RANK(AG23,$AG$5:$AG$36,0)</f>
        <v/>
      </c>
      <c r="AI23" s="0">
        <f>COUNTIF(AI10:AI13,2)</f>
        <v/>
      </c>
      <c r="AK23" s="0">
        <f>AM11</f>
        <v/>
      </c>
      <c r="AL23" s="0">
        <f>AP7</f>
        <v/>
      </c>
      <c r="AO23" s="221" t="inlineStr">
        <is>
          <t xml:space="preserve">selector </t>
        </is>
      </c>
      <c r="AP23" s="221">
        <f>AR15-AR53</f>
        <v/>
      </c>
      <c r="AQ23" s="221">
        <f>IF(AP23&lt;0,"best Tab 2","Best Tab 1")</f>
        <v/>
      </c>
      <c r="AR23" s="221">
        <f>(AP23/AP16)*100</f>
        <v/>
      </c>
      <c r="AT23" s="0">
        <f>IF(ABS(AU22-AQ38)&lt;15,"goals",IF(AU22=MIN(AU22,AQ38),"Goals","wins"))</f>
        <v/>
      </c>
      <c r="AU23" s="0">
        <f>IF(AU24=AV18,"under","over")</f>
        <v/>
      </c>
      <c r="AV23" s="0">
        <f>ABS(AV10-$AU$18)</f>
        <v/>
      </c>
      <c r="AW23" s="0">
        <f>ABS(AW10-$AU$18)</f>
        <v/>
      </c>
      <c r="AX23" s="0">
        <f>AW23/(AW23+$AU$19)*100</f>
        <v/>
      </c>
      <c r="AY23" s="0">
        <f>ABS(AX23-$AX$24)</f>
        <v/>
      </c>
      <c r="BA23" s="0">
        <f>(BA20+BA60)/2</f>
        <v/>
      </c>
      <c r="BB23" s="0">
        <f>IF(BG5=5,"draw",IF(BG6=5,"away",IF(BG7=5,"draw",IF(BG8=5,"home",IF(BG9=5,"away",IF(BG10=5,"away",IF(BG11=5,"home",IF(BG12=5,"away",IF(BG13=5,"draw",IF(BG14=5,"home","rountime"))))))))))</f>
        <v/>
      </c>
      <c r="BC23" s="201" t="n">
        <v>3</v>
      </c>
      <c r="BD23" s="202" t="inlineStr">
        <is>
          <t>:</t>
        </is>
      </c>
      <c r="BE23" s="203" t="n">
        <v>4</v>
      </c>
      <c r="BF23" s="192">
        <f>POISSON(BC23,$C$7,FALSE)*POISSON(BE23,$D$7,FALSE)*100</f>
        <v/>
      </c>
      <c r="BG23" s="204">
        <f>RANK(BF23,$BF$5:$BF$36,0)</f>
        <v/>
      </c>
      <c r="BH23" s="0">
        <f>COUNTIF(BH10:BH13,2)</f>
        <v/>
      </c>
      <c r="BJ23" s="0">
        <f>BL11</f>
        <v/>
      </c>
      <c r="BK23" s="0">
        <f>BO7</f>
        <v/>
      </c>
      <c r="BN23" s="221" t="inlineStr">
        <is>
          <t xml:space="preserve">selector </t>
        </is>
      </c>
      <c r="BO23" s="221">
        <f>BQ15-BQ53</f>
        <v/>
      </c>
      <c r="BP23" s="221">
        <f>IF(BO23&lt;0,"best Tab 2","Best Tab 1")</f>
        <v/>
      </c>
      <c r="BQ23" s="221">
        <f>(BO23/BO16)*100</f>
        <v/>
      </c>
      <c r="BS23" s="0">
        <f>IF(ABS(BT22-BP38)&lt;15,"goals",IF(BT22=MIN(BT22,BP38),"Goals","wins"))</f>
        <v/>
      </c>
      <c r="BT23" s="0">
        <f>IF(BT24=BU18,"under","over")</f>
        <v/>
      </c>
      <c r="BU23" s="0">
        <f>ABS(BU10-$BT$18)</f>
        <v/>
      </c>
      <c r="BV23" s="0">
        <f>ABS(BV10-$BT$18)</f>
        <v/>
      </c>
      <c r="BW23" s="0">
        <f>BV23/(BV23+$BT$19)*100</f>
        <v/>
      </c>
      <c r="BX23" s="0">
        <f>ABS(BW23-$BW$24)</f>
        <v/>
      </c>
      <c r="BZ23" s="0">
        <f>(BZ20+BZ60)/2</f>
        <v/>
      </c>
      <c r="CA23" s="0">
        <f>IF(CF5=5,"draw",IF(CF6=5,"away",IF(CF7=5,"draw",IF(CF8=5,"home",IF(CF9=5,"away",IF(CF10=5,"away",IF(CF11=5,"home",IF(CF12=5,"away",IF(CF13=5,"draw",IF(CF14=5,"home","rountime"))))))))))</f>
        <v/>
      </c>
      <c r="CB23" s="201" t="n">
        <v>3</v>
      </c>
      <c r="CC23" s="202" t="inlineStr">
        <is>
          <t>:</t>
        </is>
      </c>
      <c r="CD23" s="203" t="n">
        <v>4</v>
      </c>
      <c r="CE23" s="192">
        <f>POISSON(CB23,$C$8,FALSE)*POISSON(CD23,$D$8,FALSE)*100</f>
        <v/>
      </c>
      <c r="CF23" s="204">
        <f>RANK(CE23,$CE$5:$CE$36,0)</f>
        <v/>
      </c>
      <c r="CG23" s="0">
        <f>COUNTIF(CG10:CG13,2)</f>
        <v/>
      </c>
      <c r="CM23" s="221" t="inlineStr">
        <is>
          <t xml:space="preserve">selector </t>
        </is>
      </c>
      <c r="CN23" s="221">
        <f>CP15-CP53</f>
        <v/>
      </c>
      <c r="CO23" s="221">
        <f>IF(CN23&lt;0,"best Tab 2","Best Tab 1")</f>
        <v/>
      </c>
      <c r="CP23" s="221">
        <f>(CN23/CN16)*100</f>
        <v/>
      </c>
      <c r="CR23" s="0">
        <f>IF(ABS(CS22-CO38)&lt;15,"goals",IF(CS22=MIN(CS22,CO38),"Goals","wins"))</f>
        <v/>
      </c>
      <c r="CS23" s="0">
        <f>IF(CS24=CT18,"under","over")</f>
        <v/>
      </c>
      <c r="CT23" s="0">
        <f>ABS(CT10-$CS$18)</f>
        <v/>
      </c>
      <c r="CU23" s="0">
        <f>ABS(CU10-$CS$18)</f>
        <v/>
      </c>
      <c r="CV23" s="0">
        <f>CU23/(CU23+$CS$19)*100</f>
        <v/>
      </c>
      <c r="CW23" s="0">
        <f>ABS(CV23-$CV$24)</f>
        <v/>
      </c>
      <c r="CY23" s="0">
        <f>(CY20+CY60)/2</f>
        <v/>
      </c>
      <c r="CZ23" s="0">
        <f>IF(DE5=5,"draw",IF(DE6=5,"away",IF(DE7=5,"draw",IF(DE8=5,"home",IF(DE9=5,"away",IF(DE10=5,"away",IF(DE11=5,"home",IF(DE12=5,"away",IF(DE13=5,"draw",IF(DE14=5,"home","rountime"))))))))))</f>
        <v/>
      </c>
      <c r="DA23" s="201" t="n">
        <v>3</v>
      </c>
      <c r="DB23" s="202" t="inlineStr">
        <is>
          <t>:</t>
        </is>
      </c>
      <c r="DC23" s="203" t="n">
        <v>4</v>
      </c>
      <c r="DD23" s="192">
        <f>POISSON(DA23,$C$9,FALSE)*POISSON(DC23,$D$9,FALSE)*100</f>
        <v/>
      </c>
      <c r="DE23" s="204">
        <f>RANK(DD23,$DD$5:$DD$36,0)</f>
        <v/>
      </c>
      <c r="DF23" s="0">
        <f>COUNTIF(DF10:DF13,2)</f>
        <v/>
      </c>
      <c r="DL23" s="221" t="inlineStr">
        <is>
          <t xml:space="preserve">selector </t>
        </is>
      </c>
      <c r="DM23" s="221">
        <f>DO15-DO53</f>
        <v/>
      </c>
      <c r="DN23" s="221">
        <f>IF(DM23&lt;0,"best Tab 2","Best Tab 1")</f>
        <v/>
      </c>
      <c r="DO23" s="221">
        <f>(DM23/DM16)*100</f>
        <v/>
      </c>
      <c r="DQ23" s="0">
        <f>IF(ABS(DR22-DN38)&lt;5,"goals",IF(DR22=MIN(DR22,DN38),"Goals","wins"))</f>
        <v/>
      </c>
      <c r="DR23" s="0">
        <f>IF(DR24=DS18,"under","over")</f>
        <v/>
      </c>
      <c r="DS23" s="0">
        <f>ABS(DS10-$DR$18)</f>
        <v/>
      </c>
      <c r="DT23" s="0">
        <f>ABS(DT10-$DR$18)</f>
        <v/>
      </c>
      <c r="DU23" s="0">
        <f>DT23/(DT23+$DR$19)*100</f>
        <v/>
      </c>
      <c r="DV23" s="0">
        <f>ABS(DU23-$BW$24)</f>
        <v/>
      </c>
    </row>
    <row r="24" ht="15.75" customHeight="1" s="276">
      <c r="C24" s="0">
        <f>(C21+C59)/2</f>
        <v/>
      </c>
      <c r="D24" s="0">
        <f>IF(I5=6,"draw",IF(I6=6,"away",IF(I7=6,"draw",IF(I8=6,"home",IF(I9=6,"away",IF(I10=6,"away",IF(I11=6,"home",IF(I12=6,"away",IF(I13=6,"draw",IF(I14=6,"home","rountime"))))))))))</f>
        <v/>
      </c>
      <c r="E24" s="201" t="n">
        <v>2</v>
      </c>
      <c r="F24" s="202" t="inlineStr">
        <is>
          <t>:</t>
        </is>
      </c>
      <c r="G24" s="203" t="n">
        <v>5</v>
      </c>
      <c r="H24" s="192">
        <f>POISSON(E24,$C$5,FALSE)*POISSON(G24,$D$5,FALSE)*100</f>
        <v/>
      </c>
      <c r="I24" s="204">
        <f>RANK(H24,$H$5:$H$36,0)</f>
        <v/>
      </c>
      <c r="J24" s="0">
        <f>IF(AND(J27&gt;0,J27=J21,OR(J27=J22,J27=J23)),"overD",IF(AND(J27&gt;J21,J27&gt;J22,J27&gt;J23),"over",IF(AND(J21&gt;1,OR(J21=J22,J21=J23)),"Draw",IF(AND(J21&gt;J22,J22&gt;J23),"x2",IF(AND(J21&gt;J23,J23&gt;J22),"1x",IF(J23&gt;J22,"home",IF(J22&gt;J23,"away","draw")))))))</f>
        <v/>
      </c>
      <c r="L24" s="0">
        <f>O8</f>
        <v/>
      </c>
      <c r="M24" s="0">
        <f>Q8</f>
        <v/>
      </c>
      <c r="N24" s="222">
        <f>Sheet3!E38</f>
        <v/>
      </c>
      <c r="O24" s="0">
        <f>Sheet3!F38</f>
        <v/>
      </c>
      <c r="P24" s="0" t="inlineStr">
        <is>
          <t xml:space="preserve">difference </t>
        </is>
      </c>
      <c r="Q24" s="0">
        <f>Q19-Q21</f>
        <v/>
      </c>
      <c r="V24" s="0">
        <f>MAX(W18,X18)</f>
        <v/>
      </c>
      <c r="W24" s="0">
        <f>IF(AND(V23="under",V22&lt;5),"u1.5",IF(AND(V23="under",V22&lt;28),"u2.5",IF(AND(V23="under",V22&lt;65),"u3.5",IF(AND(V23="under",V22&lt;95),"u4.5",IF(AND(V23="over",V22&gt;95),"o1.5",IF(AND(V23="over",V22&gt;65),"o1.5",IF(AND(V23="over",V22&gt;35),"o2.5",IF(AND(V23="over",V22&lt;28,V22&gt;15),"u.3.5+",IF(AND(V23="under",V22&gt;105),"o1.5","don't choose")))))))))</f>
        <v/>
      </c>
      <c r="X24" s="0">
        <f>IF(AND(T8="high",W24="u2.5"),"u3.5",IF(AND(V23="under",P35="mega",W24="u2.5"),"u3.5",IF(AND(P35="mega",W24="u.3.5+"),"u4.5+",IF(AND(P35="mega",W24="u1.5"),"u3.5",W24))))</f>
        <v/>
      </c>
      <c r="Y24" s="0">
        <f>AVERAGE(Y19:Y23)</f>
        <v/>
      </c>
      <c r="Z24" s="0">
        <f>MIN(Z19:Z23)</f>
        <v/>
      </c>
      <c r="AB24" s="0">
        <f>(AB21+AB59)/2</f>
        <v/>
      </c>
      <c r="AC24" s="0">
        <f>IF(AH5=6,"draw",IF(AH6=6,"away",IF(AH7=6,"draw",IF(AH8=6,"home",IF(AH9=6,"away",IF(AH10=6,"away",IF(AH11=6,"home",IF(AH12=6,"away",IF(AH13=6,"draw",IF(AH14=6,"home","rountime"))))))))))</f>
        <v/>
      </c>
      <c r="AD24" s="201" t="n">
        <v>2</v>
      </c>
      <c r="AE24" s="202">
        <f>AD24+AF24</f>
        <v/>
      </c>
      <c r="AF24" s="203" t="n">
        <v>5</v>
      </c>
      <c r="AG24" s="192">
        <f>POISSON(AD24,$C$6,FALSE)*POISSON(AF24,$D$6,FALSE)*100</f>
        <v/>
      </c>
      <c r="AH24" s="204">
        <f>RANK(AG24,$AG$5:$AG$36,0)</f>
        <v/>
      </c>
      <c r="AI24" s="0">
        <f>IF(AND(AI27&gt;0,AI27=AI21,OR(AI27=AI22,AI27=AI23)),"overD",IF(AND(AI27&gt;AI21,AI27&gt;AI22,AI27&gt;AI23),"over",IF(AND(AI21&gt;1,OR(AI21=AI22,AI21=AI23)),"Draw",IF(AND(AI21&gt;AI22,AI22&gt;AI23),"x2",IF(AND(AI21&gt;AI23,AI23&gt;AI22),"1x",IF(AI23&gt;AI22,"home",IF(AI22&gt;AI23,"away","draw")))))))</f>
        <v/>
      </c>
      <c r="AK24" s="0">
        <f>AN8</f>
        <v/>
      </c>
      <c r="AL24" s="0">
        <f>AP8</f>
        <v/>
      </c>
      <c r="AM24" s="222">
        <f>Sheet3!M38</f>
        <v/>
      </c>
      <c r="AN24" s="0">
        <f>Sheet3!N38</f>
        <v/>
      </c>
      <c r="AO24" s="0" t="inlineStr">
        <is>
          <t xml:space="preserve">difference </t>
        </is>
      </c>
      <c r="AP24" s="0">
        <f>AP19-AP21</f>
        <v/>
      </c>
      <c r="AU24" s="0">
        <f>MAX(AV18,AW18)</f>
        <v/>
      </c>
      <c r="AV24" s="0">
        <f>IF(AND(AU23="under",AU22&lt;5),"u1.5",IF(AND(AU23="under",AU22&lt;28),"u2.5",IF(AND(AU23="under",AU22&lt;65),"u3.5",IF(AND(AU23="under",AU22&lt;95),"u4.5",IF(AND(AU23="over",AU22&gt;95),"o1.5",IF(AND(AU23="over",AU22&gt;65),"o1.5",IF(AND(AU23="over",AU22&gt;35),"o2.5",IF(AND(AU23="over",AU22&lt;28,AU22&gt;15),"u.3.5+",IF(AND(AU23="under",AU22&gt;105),"o1.5","don't choose")))))))))</f>
        <v/>
      </c>
      <c r="AW24" s="0">
        <f>IF(AND(AS8="high",AV24="u2.5"),"u3.5",IF(AND(AU23="under",AO35="mega",AV24="u2.5"),"u3.5",IF(AND(AO35="mega",AV24="u.3.5+"),"u4.5+",IF(AND(AO35="mega",AV24="u1.5"),"u3.5",AV24))))</f>
        <v/>
      </c>
      <c r="AX24" s="0">
        <f>AVERAGE(AX19:AX23)</f>
        <v/>
      </c>
      <c r="AY24" s="0">
        <f>MIN(AY19:AY23)</f>
        <v/>
      </c>
      <c r="BA24" s="0">
        <f>(BA21+BA59)/2</f>
        <v/>
      </c>
      <c r="BB24" s="0">
        <f>IF(BG5=6,"draw",IF(BG6=6,"away",IF(BG7=6,"draw",IF(BG8=6,"home",IF(BG9=6,"away",IF(BG10=6,"away",IF(BG11=6,"home",IF(BG12=6,"away",IF(BG13=6,"draw",IF(BG14=6,"home","rountime"))))))))))</f>
        <v/>
      </c>
      <c r="BC24" s="201" t="n">
        <v>2</v>
      </c>
      <c r="BD24" s="202" t="inlineStr">
        <is>
          <t>:</t>
        </is>
      </c>
      <c r="BE24" s="203" t="n">
        <v>5</v>
      </c>
      <c r="BF24" s="192">
        <f>POISSON(BC24,$C$7,FALSE)*POISSON(BE24,$D$7,FALSE)*100</f>
        <v/>
      </c>
      <c r="BG24" s="204">
        <f>RANK(BF24,$BF$5:$BF$36,0)</f>
        <v/>
      </c>
      <c r="BH24" s="0">
        <f>IF(AND(BH27&gt;0,BH27=BH21,OR(BH27=BH22,BH27=BH23)),"overD",IF(AND(BH27&gt;BH21,BH27&gt;BH22,BH27&gt;BH23),"over",IF(AND(BH21&gt;1,OR(BH21=BH22,BH21=BH23)),"Draw",IF(AND(BH21&gt;BH22,BH22&gt;BH23),"x2",IF(AND(BH21&gt;BH23,BH23&gt;BH22),"1x",IF(BH23&gt;BH22,"home",IF(BH22&gt;BH23,"away","draw")))))))</f>
        <v/>
      </c>
      <c r="BJ24" s="0">
        <f>BM8</f>
        <v/>
      </c>
      <c r="BK24" s="0">
        <f>BO8</f>
        <v/>
      </c>
      <c r="BL24" s="222">
        <f>Sheet3!U38</f>
        <v/>
      </c>
      <c r="BM24" s="0">
        <f>Sheet3!V38</f>
        <v/>
      </c>
      <c r="BN24" s="0" t="inlineStr">
        <is>
          <t xml:space="preserve">difference </t>
        </is>
      </c>
      <c r="BO24" s="0">
        <f>BO19-BO21</f>
        <v/>
      </c>
      <c r="BT24" s="0">
        <f>MAX(BU18,BV18)</f>
        <v/>
      </c>
      <c r="BU24" s="0">
        <f>IF(AND(BT23="under",BT22&lt;5),"u1.5",IF(AND(BT23="under",BT22&lt;28),"u2.5",IF(AND(BT23="under",BT22&lt;65),"u3.5",IF(AND(BT23="under",BT22&lt;95),"u4.5",IF(AND(BT23="over",BT22&gt;95),"o1.5",IF(AND(BT23="over",BT22&gt;65),"o1.5",IF(AND(BT23="over",BT22&gt;35),"o2.5",IF(AND(BT23="over",BT22&lt;28,BT22&gt;15),"u.3.5+",IF(AND(BT23="under",BT22&gt;105),"o1.5","don't choose")))))))))</f>
        <v/>
      </c>
      <c r="BV24" s="0">
        <f>IF(AND(BR8="high",BU24="u2.5"),"u3.5",IF(AND(BT23="under",BN35="mega",BU24="u2.5"),"u3.5",IF(AND(BN35="mega",BU24="u.3.5+"),"u4.5+",IF(AND(BN35="mega",BU24="u1.5"),"u3.5",BU24))))</f>
        <v/>
      </c>
      <c r="BW24" s="0">
        <f>AVERAGE(BW19:BW23)</f>
        <v/>
      </c>
      <c r="BX24" s="0">
        <f>MIN(BX19:BX23)</f>
        <v/>
      </c>
      <c r="BZ24" s="0">
        <f>(BZ21+BZ59)/2</f>
        <v/>
      </c>
      <c r="CA24" s="0">
        <f>IF(CF5=6,"draw",IF(CF6=6,"away",IF(CF7=6,"draw",IF(CF8=6,"home",IF(CF9=6,"away",IF(CF10=6,"away",IF(CF11=6,"home",IF(CF12=6,"away",IF(CF13=6,"draw",IF(CF14=6,"home","rountime"))))))))))</f>
        <v/>
      </c>
      <c r="CB24" s="201" t="n">
        <v>2</v>
      </c>
      <c r="CC24" s="202" t="inlineStr">
        <is>
          <t>:</t>
        </is>
      </c>
      <c r="CD24" s="203" t="n">
        <v>5</v>
      </c>
      <c r="CE24" s="192">
        <f>POISSON(CB24,$C$8,FALSE)*POISSON(CD24,$D$8,FALSE)*100</f>
        <v/>
      </c>
      <c r="CF24" s="204">
        <f>RANK(CE24,$CE$5:$CE$36,0)</f>
        <v/>
      </c>
      <c r="CG24" s="0">
        <f>IF(AND(CG27&gt;0,CG27=CG21,OR(CG27=CG22,CG27=CG23)),"overD",IF(AND(CG27&gt;CG21,CG27&gt;CG22,CG27&gt;CG23),"over",IF(AND(CG21&gt;1,OR(CG21=CG22,CG21=CG23)),"Draw",IF(AND(CG21&gt;CG22,CG22&gt;CG23),"x2",IF(AND(CG21&gt;CG23,CG23&gt;CG22),"1x",IF(CG23&gt;CG22,"home",IF(CG22&gt;CG23,"away","draw")))))))</f>
        <v/>
      </c>
      <c r="CK24" s="222">
        <f>Sheet3!AC38</f>
        <v/>
      </c>
      <c r="CL24" s="0">
        <f>Sheet3!AD38</f>
        <v/>
      </c>
      <c r="CM24" s="0" t="inlineStr">
        <is>
          <t xml:space="preserve">difference </t>
        </is>
      </c>
      <c r="CN24" s="0">
        <f>CN19-CN21</f>
        <v/>
      </c>
      <c r="CS24" s="0">
        <f>MAX(CT18,CU18)</f>
        <v/>
      </c>
      <c r="CT24" s="0">
        <f>IF(AND(CS23="under",CS22&lt;5),"u1.5",IF(AND(CS23="under",CS22&lt;28),"u2.5",IF(AND(CS23="under",CS22&lt;65),"u3.5",IF(AND(CS23="under",CS22&lt;95),"u4.5",IF(AND(CS23="over",CS22&gt;95),"o1.5",IF(AND(CS23="over",CS22&gt;65),"o1.5",IF(AND(CS23="over",CS22&gt;35),"o2.5",IF(AND(CS23="over",CS22&lt;28,CS22&gt;15),"u.3.5+",IF(AND(CS23="under",CS22&gt;105),"o1.5","don't choose")))))))))</f>
        <v/>
      </c>
      <c r="CU24" s="0">
        <f>IF(AND(CQ8="high",CT24="u2.5"),"u3.5",IF(AND(CS23="under",CM35="mega",CT24="u2.5"),"u3.5",IF(AND(CM35="mega",CT24="u.3.5+"),"u4.5+",IF(AND(CM35="mega",CT24="u1.5"),"u3.5",CT24))))</f>
        <v/>
      </c>
      <c r="CV24" s="0">
        <f>AVERAGE(CV19:CV23)</f>
        <v/>
      </c>
      <c r="CW24" s="0">
        <f>MIN(CW19:CW23)</f>
        <v/>
      </c>
      <c r="CY24" s="0">
        <f>(CY21+CY59)/2</f>
        <v/>
      </c>
      <c r="CZ24" s="0">
        <f>IF(DE5=6,"draw",IF(DE6=6,"away",IF(DE7=6,"draw",IF(DE8=6,"home",IF(DE9=6,"away",IF(DE10=6,"away",IF(DE11=6,"home",IF(DE12=6,"away",IF(DE13=6,"draw",IF(DE14=6,"home","rountime"))))))))))</f>
        <v/>
      </c>
      <c r="DA24" s="201" t="n">
        <v>2</v>
      </c>
      <c r="DB24" s="202" t="inlineStr">
        <is>
          <t>:</t>
        </is>
      </c>
      <c r="DC24" s="203" t="n">
        <v>5</v>
      </c>
      <c r="DD24" s="192">
        <f>POISSON(DA24,$C$9,FALSE)*POISSON(DC24,$D$9,FALSE)*100</f>
        <v/>
      </c>
      <c r="DE24" s="204">
        <f>RANK(DD24,$DD$5:$DD$36,0)</f>
        <v/>
      </c>
      <c r="DF24" s="0">
        <f>IF(AND(DF27&gt;0,DF27=DF21,OR(DF27=DF22,DF27=DF23)),"overD",IF(AND(DF27&gt;DF21,DF27&gt;DF22,DF27&gt;DF23),"over",IF(AND(DF21&gt;1,OR(DF21=DF22,DF21=DF23)),"Draw",IF(AND(DF21&gt;DF22,DF22&gt;DF23),"x2",IF(AND(DF21&gt;DF23,DF23&gt;DF22),"1x",IF(DF23&gt;DF22,"home",IF(DF22&gt;DF23,"away","draw")))))))</f>
        <v/>
      </c>
      <c r="DJ24" s="222">
        <f>Sheet3!AK38</f>
        <v/>
      </c>
      <c r="DK24" s="0">
        <f>Sheet3!AL38</f>
        <v/>
      </c>
      <c r="DL24" s="0" t="inlineStr">
        <is>
          <t xml:space="preserve">difference </t>
        </is>
      </c>
      <c r="DM24" s="0">
        <f>DM19-DM21</f>
        <v/>
      </c>
      <c r="DR24" s="0">
        <f>MAX(DS18,DT18)</f>
        <v/>
      </c>
      <c r="DS24" s="0">
        <f>IF(AND(DR23="under",DR22&lt;5),"u1.5",IF(AND(DR23="under",DR22&lt;28),"u2.5",IF(AND(DR23="under",DR22&lt;65),"u3.5",IF(AND(DR23="under",DR22&lt;95),"u4.5",IF(AND(DR23="over",DR22&gt;95),"o1.5",IF(AND(DR23="over",DR22&gt;65),"o1.5",IF(AND(DR23="over",DR22&gt;35),"o2.5",IF(AND(DR23="over",DR22&lt;28,DR22&gt;15),"u.3.5+",IF(AND(DR23="under",DR22&gt;105),"o1.5","don't choose")))))))))</f>
        <v/>
      </c>
      <c r="DT24" s="0">
        <f>IF(AND(DP8="high",DS24="u2.5"),"u3.5",IF(AND(DR23="under",DL35="mega",DS24="u2.5"),"u3.5",IF(AND(DL35="mega",DS24="u.3.5+"),"u4.5+",IF(AND(DL35="mega",DS24="u1.5"),"u3.5",DS24))))</f>
        <v/>
      </c>
      <c r="DU24" s="0">
        <f>AVERAGE(DU19:DU23)</f>
        <v/>
      </c>
      <c r="DV24" s="0">
        <f>MIN(DV19:DV23)</f>
        <v/>
      </c>
    </row>
    <row r="25" ht="15.75" customHeight="1" s="276">
      <c r="C25" s="0">
        <f>(C22+C58)/2</f>
        <v/>
      </c>
      <c r="D25" s="0">
        <f>IF(I5=7,"draw",IF(I6=7,"away",IF(I7=7,"draw",IF(I8=7,"home",IF(I9=7,"away",IF(I10=7,"away",IF(I11=7,"home",IF(I12=7,"away",IF(I13=7,"draw",IF(I14=7,"home","rountime"))))))))))</f>
        <v/>
      </c>
      <c r="E25" s="201" t="n">
        <v>4</v>
      </c>
      <c r="F25" s="202" t="inlineStr">
        <is>
          <t>:</t>
        </is>
      </c>
      <c r="G25" s="203" t="n">
        <v>3</v>
      </c>
      <c r="H25" s="192">
        <f>POISSON(E25,$C$5,FALSE)*POISSON(G25,$D$5,FALSE)*100</f>
        <v/>
      </c>
      <c r="I25" s="204">
        <f>RANK(H25,$H$5:$H$36,0)</f>
        <v/>
      </c>
      <c r="J25" s="0">
        <f>IF(AND(J22&gt;J23,J23=0),"cleared away",IF(AND(J23&gt;J22,J22=0),"cleared Home","doubled"))</f>
        <v/>
      </c>
      <c r="L25" s="0">
        <f>O9</f>
        <v/>
      </c>
      <c r="M25" s="0">
        <f>R6</f>
        <v/>
      </c>
      <c r="Q25" s="0">
        <f>IF(Q24&lt;0,-Q24,Q24)</f>
        <v/>
      </c>
      <c r="V25" s="0">
        <f>IF(AND(W26&lt;1,Y25="D'over"),"ok",IF(AND(W26&lt;1,Y25="go"),"ok","check"))</f>
        <v/>
      </c>
      <c r="W25" s="0">
        <f>IF(X24="o2.5",1,IF(X24="O1.5",0,""))</f>
        <v/>
      </c>
      <c r="X25" s="0">
        <f>IF(X24="o2.5",1,IF(X24="o1.5",1,IF(X24="don't choose",1,0)))</f>
        <v/>
      </c>
      <c r="Y25" s="0">
        <f>IF(AND(X25=AW25,X25=1),"D'over",IF(OR(X25=1,AW25=1),"Add","go"))</f>
        <v/>
      </c>
      <c r="Z25" s="0">
        <f>ABS(Z13)/Z11</f>
        <v/>
      </c>
      <c r="AB25" s="0">
        <f>(AB22+AB58)/2</f>
        <v/>
      </c>
      <c r="AC25" s="0">
        <f>IF(AH5=7,"draw",IF(AH6=7,"away",IF(AH7=7,"draw",IF(AH8=7,"home",IF(AH9=7,"away",IF(AH10=7,"away",IF(AH11=7,"home",IF(AH12=7,"away",IF(AH13=7,"draw",IF(AH14=7,"home","rountime"))))))))))</f>
        <v/>
      </c>
      <c r="AD25" s="201" t="n">
        <v>4</v>
      </c>
      <c r="AE25" s="202">
        <f>AD25+AF25</f>
        <v/>
      </c>
      <c r="AF25" s="203" t="n">
        <v>3</v>
      </c>
      <c r="AG25" s="192">
        <f>POISSON(AD25,$C$6,FALSE)*POISSON(AF25,$D$6,FALSE)*100</f>
        <v/>
      </c>
      <c r="AH25" s="204">
        <f>RANK(AG25,$AG$5:$AG$36,0)</f>
        <v/>
      </c>
      <c r="AI25" s="0">
        <f>IF(AND(AI22&gt;AI23,AI23=0),"cleared away",IF(AND(AI23&gt;AI22,AI22=0),"cleared Home","doubled"))</f>
        <v/>
      </c>
      <c r="AK25" s="0">
        <f>AN9</f>
        <v/>
      </c>
      <c r="AL25" s="0">
        <f>AQ6</f>
        <v/>
      </c>
      <c r="AP25" s="0">
        <f>IF(AP24&lt;0,-AP24,AP24)</f>
        <v/>
      </c>
      <c r="AV25" s="0">
        <f>IF(OR(AW24="o2.5",AW24="O1.5"),"1","")</f>
        <v/>
      </c>
      <c r="AW25" s="0">
        <f>IF(AW24="o2.5",1,IF(AW24="o1.5",1,IF(AW24="don't choose",1,0)))</f>
        <v/>
      </c>
      <c r="BA25" s="0">
        <f>(BA22+BA58)/2</f>
        <v/>
      </c>
      <c r="BB25" s="0">
        <f>IF(BG5=7,"draw",IF(BG6=7,"away",IF(BG7=7,"draw",IF(BG8=7,"home",IF(BG9=7,"away",IF(BG10=7,"away",IF(BG11=7,"home",IF(BG12=7,"away",IF(BG13=7,"draw",IF(BG14=7,"home","rountime"))))))))))</f>
        <v/>
      </c>
      <c r="BC25" s="201" t="n">
        <v>4</v>
      </c>
      <c r="BD25" s="202" t="inlineStr">
        <is>
          <t>:</t>
        </is>
      </c>
      <c r="BE25" s="203" t="n">
        <v>3</v>
      </c>
      <c r="BF25" s="192">
        <f>POISSON(BC25,$C$7,FALSE)*POISSON(BE25,$D$7,FALSE)*100</f>
        <v/>
      </c>
      <c r="BG25" s="204">
        <f>RANK(BF25,$BF$5:$BF$36,0)</f>
        <v/>
      </c>
      <c r="BH25" s="0">
        <f>IF(AND(BH22&gt;BH23,BH23=0),"cleared away",IF(AND(BH23&gt;BH22,BH22=0),"cleared Home","doubled"))</f>
        <v/>
      </c>
      <c r="BJ25" s="0">
        <f>BM9</f>
        <v/>
      </c>
      <c r="BK25" s="0">
        <f>BP6</f>
        <v/>
      </c>
      <c r="BO25" s="0">
        <f>IF(BO24&lt;0,-BO24,BO24)</f>
        <v/>
      </c>
      <c r="BU25" s="0">
        <f>IF(OR(BV24="o2.5",BV24="O1.5"),"1","")</f>
        <v/>
      </c>
      <c r="BV25" s="0">
        <f>IF(BV24="o2.5",1,IF(BV24="o1.5",1,IF(BV24="don't choose",1,0)))</f>
        <v/>
      </c>
      <c r="BW25" s="0">
        <f>IF(AND(BV25=CU25,BV25=1),"D'over",IF(OR(BV25=1,CU25=1),"Add","go"))</f>
        <v/>
      </c>
      <c r="BZ25" s="0">
        <f>(BZ22+BZ58)/2</f>
        <v/>
      </c>
      <c r="CA25" s="0">
        <f>IF(CF5=7,"draw",IF(CF6=7,"away",IF(CF7=7,"draw",IF(CF8=7,"home",IF(CF9=7,"away",IF(CF10=7,"away",IF(CF11=7,"home",IF(CF12=7,"away",IF(CF13=7,"draw",IF(CF14=7,"home","rountime"))))))))))</f>
        <v/>
      </c>
      <c r="CB25" s="201" t="n">
        <v>4</v>
      </c>
      <c r="CC25" s="202" t="inlineStr">
        <is>
          <t>:</t>
        </is>
      </c>
      <c r="CD25" s="203" t="n">
        <v>3</v>
      </c>
      <c r="CE25" s="192">
        <f>POISSON(CB25,$C$8,FALSE)*POISSON(CD25,$D$8,FALSE)*100</f>
        <v/>
      </c>
      <c r="CF25" s="204">
        <f>RANK(CE25,$CE$5:$CE$36,0)</f>
        <v/>
      </c>
      <c r="CG25" s="0">
        <f>IF(AND(CG22&gt;CG23,CG23=0),"cleared away",IF(AND(CG23&gt;CG22,CG22=0),"cleared Home","doubled"))</f>
        <v/>
      </c>
      <c r="CN25" s="0">
        <f>IF(CN24&lt;0,-CN24,CN24)</f>
        <v/>
      </c>
      <c r="CT25" s="0">
        <f>IF(CU24="o2.5",1,IF(CU24="O1.5",0,""))</f>
        <v/>
      </c>
      <c r="CU25" s="0">
        <f>IF(CU24="o2.5",1,IF(CU24="o1.5",1,IF(CU24="don't choose",1,0)))</f>
        <v/>
      </c>
      <c r="CY25" s="0">
        <f>(CY22+CY58)/2</f>
        <v/>
      </c>
      <c r="CZ25" s="0">
        <f>IF(DE5=7,"draw",IF(DE6=7,"away",IF(DE7=7,"draw",IF(DE8=7,"home",IF(DE9=7,"away",IF(DE10=7,"away",IF(DE11=7,"home",IF(DE12=7,"away",IF(DE13=7,"draw",IF(DE14=7,"home","rountime"))))))))))</f>
        <v/>
      </c>
      <c r="DA25" s="201" t="n">
        <v>4</v>
      </c>
      <c r="DB25" s="202" t="inlineStr">
        <is>
          <t>:</t>
        </is>
      </c>
      <c r="DC25" s="203" t="n">
        <v>3</v>
      </c>
      <c r="DD25" s="192">
        <f>POISSON(DA25,$C$9,FALSE)*POISSON(DC25,$D$9,FALSE)*100</f>
        <v/>
      </c>
      <c r="DE25" s="204">
        <f>RANK(DD25,$DD$5:$DD$36,0)</f>
        <v/>
      </c>
      <c r="DF25" s="0">
        <f>IF(AND(DF22&gt;DF23,DF23=0),"cleared away",IF(AND(DF23&gt;DF22,DF22=0),"cleared Home","doubled"))</f>
        <v/>
      </c>
      <c r="DM25" s="0">
        <f>IF(DM24&lt;0,-DM24,DM24)</f>
        <v/>
      </c>
    </row>
    <row r="26" ht="15.75" customHeight="1" s="276">
      <c r="C26" s="223">
        <f>IF(AND(C23=C24,C24=C25),"equal",IF(C23=C25,"both equal",IF(C23=MAX(C23:C25),"home",IF(C24=MAX(C23:C25),"draw",IF(C25=MAX(C23:C25),"away",IF(OR(C23=C24,C25=C24),"either side","check"))))))</f>
        <v/>
      </c>
      <c r="D26" s="0">
        <f>IF(I5=8,"draw",IF(I6=8,"away",IF(I7=8,"draw",IF(I8=8,"home",IF(I9=8,"away",IF(I10=8,"away",IF(I11=8,"home",IF(I12=8,"away",IF(I13=8,"draw",IF(I14=8,"home","rountime"))))))))))</f>
        <v/>
      </c>
      <c r="E26" s="201" t="n">
        <v>5</v>
      </c>
      <c r="F26" s="202" t="inlineStr">
        <is>
          <t>:</t>
        </is>
      </c>
      <c r="G26" s="203" t="n">
        <v>0</v>
      </c>
      <c r="H26" s="192">
        <f>POISSON(E26,$C$5,FALSE)*POISSON(G26,$D$5,FALSE)*100</f>
        <v/>
      </c>
      <c r="I26" s="204">
        <f>RANK(H26,$H$5:$H$36,0)</f>
        <v/>
      </c>
      <c r="J26" s="0">
        <f>IF(J20="yes",_xlfn.TEXTJOIN(", ",TRUE,J24,J25),IF(J20="no",_xlfn.TEXTJOIN(", ",TRUE,J62,J63),IF(J20="equal",_xlfn.TEXTJOIN(", ",TRUE,J24:J25,J62:J63))))</f>
        <v/>
      </c>
      <c r="L26" s="0">
        <f>O10</f>
        <v/>
      </c>
      <c r="M26" s="0">
        <f>R7</f>
        <v/>
      </c>
      <c r="P26" s="0">
        <f>Sheet3!G40</f>
        <v/>
      </c>
      <c r="W26" s="0">
        <f>COUNTIF(X26:AA26,1)</f>
        <v/>
      </c>
      <c r="X26" s="0">
        <f>W25</f>
        <v/>
      </c>
      <c r="Y26" s="0">
        <f>AV25</f>
        <v/>
      </c>
      <c r="Z26" s="0">
        <f>BU25</f>
        <v/>
      </c>
      <c r="AA26" s="0">
        <f>CT25</f>
        <v/>
      </c>
      <c r="AB26" s="223">
        <f>IF(AND(AB23=AB24,AB24=AB25),"equal",IF(AB23=AB25,"both equal",IF(AB23=MAX(AB23:AB25),"home",IF(AB24=MAX(AB23:AB25),"draw",IF(AB25=MAX(AB23:AB25),"away",IF(OR(AB23=AB24,AB25=AB24),"either side","check"))))))</f>
        <v/>
      </c>
      <c r="AC26" s="0">
        <f>IF(AH5=8,"draw",IF(AH6=8,"away",IF(AH7=8,"draw",IF(AH8=8,"home",IF(AH9=8,"away",IF(AH10=8,"away",IF(AH11=8,"home",IF(AH12=8,"away",IF(AH13=8,"draw",IF(AH14=8,"home","rountime"))))))))))</f>
        <v/>
      </c>
      <c r="AD26" s="201" t="n">
        <v>5</v>
      </c>
      <c r="AE26" s="202">
        <f>AD26+AF26</f>
        <v/>
      </c>
      <c r="AF26" s="203" t="n">
        <v>0</v>
      </c>
      <c r="AG26" s="192">
        <f>POISSON(AD26,$C$6,FALSE)*POISSON(AF26,$D$6,FALSE)*100</f>
        <v/>
      </c>
      <c r="AH26" s="204">
        <f>RANK(AG26,$AG$5:$AG$36,0)</f>
        <v/>
      </c>
      <c r="AI26" s="0">
        <f>IF(AI20="yes",_xlfn.TEXTJOIN(", ",TRUE,AI24,AI25),IF(AI20="no",_xlfn.TEXTJOIN(", ",TRUE,AI62,AI63),IF(AI20="equal",_xlfn.TEXTJOIN(", ",TRUE,AI24:AI25,AI62:AI63))))</f>
        <v/>
      </c>
      <c r="AK26" s="0">
        <f>AN10</f>
        <v/>
      </c>
      <c r="AL26" s="0">
        <f>AQ7</f>
        <v/>
      </c>
      <c r="AO26" s="0">
        <f>Sheet3!O40</f>
        <v/>
      </c>
      <c r="BA26" s="223">
        <f>IF(AND(BA23=BA24,BA24=BA25),"equal",IF(BA23=BA25,"both equal",IF(BA23=MAX(BA23:BA25),"home",IF(BA24=MAX(BA23:BA25),"draw",IF(BA25=MAX(BA23:BA25),"away",IF(OR(BA23=BA24,BA25=BA24),"either side","check"))))))</f>
        <v/>
      </c>
      <c r="BB26" s="0">
        <f>IF(BG5=8,"draw",IF(BG6=8,"away",IF(BG7=8,"draw",IF(BG8=8,"home",IF(BG9=8,"away",IF(BG10=8,"away",IF(BG11=8,"home",IF(BG12=8,"away",IF(BG13=8,"draw",IF(BG14=8,"home","rountime"))))))))))</f>
        <v/>
      </c>
      <c r="BC26" s="201" t="n">
        <v>5</v>
      </c>
      <c r="BD26" s="202" t="inlineStr">
        <is>
          <t>:</t>
        </is>
      </c>
      <c r="BE26" s="203" t="n">
        <v>0</v>
      </c>
      <c r="BF26" s="192">
        <f>POISSON(BC26,$C$7,FALSE)*POISSON(BE26,$D$7,FALSE)*100</f>
        <v/>
      </c>
      <c r="BG26" s="204">
        <f>RANK(BF26,$BF$5:$BF$36,0)</f>
        <v/>
      </c>
      <c r="BH26" s="0">
        <f>IF(BH20="yes",_xlfn.TEXTJOIN(", ",TRUE,BH24,BH25),IF(BH20="no",_xlfn.TEXTJOIN(", ",TRUE,BH62,BH63),IF(BH20="equal",_xlfn.TEXTJOIN(", ",TRUE,BH24:BH25,BH62:BH63))))</f>
        <v/>
      </c>
      <c r="BJ26" s="0">
        <f>BM10</f>
        <v/>
      </c>
      <c r="BK26" s="0">
        <f>BP7</f>
        <v/>
      </c>
      <c r="BN26" s="0">
        <f>Sheet3!W40</f>
        <v/>
      </c>
      <c r="BZ26" s="223">
        <f>IF(AND(BZ23=BZ24,BZ24=BZ25),"equal",IF(BZ23=BZ25,"both equal",IF(BZ23=MAX(BZ23:BZ25),"home",IF(BZ24=MAX(BZ23:BZ25),"draw",IF(BZ25=MAX(BZ23:BZ25),"away",IF(OR(BZ23=BZ24,BZ25=BZ24),"either side","check"))))))</f>
        <v/>
      </c>
      <c r="CA26" s="0">
        <f>IF(CF5=8,"draw",IF(CF6=8,"away",IF(CF7=8,"draw",IF(CF8=8,"home",IF(CF9=8,"away",IF(CF10=8,"away",IF(CF11=8,"home",IF(CF12=8,"away",IF(CF13=8,"draw",IF(CF14=8,"home","rountime"))))))))))</f>
        <v/>
      </c>
      <c r="CB26" s="201" t="n">
        <v>5</v>
      </c>
      <c r="CC26" s="202" t="inlineStr">
        <is>
          <t>:</t>
        </is>
      </c>
      <c r="CD26" s="203" t="n">
        <v>0</v>
      </c>
      <c r="CE26" s="192">
        <f>POISSON(CB26,$C$8,FALSE)*POISSON(CD26,$D$8,FALSE)*100</f>
        <v/>
      </c>
      <c r="CF26" s="204">
        <f>RANK(CE26,$CE$5:$CE$36,0)</f>
        <v/>
      </c>
      <c r="CG26" s="0">
        <f>IF(CG20="yes",_xlfn.TEXTJOIN(", ",TRUE,CG24,CG25),IF(CG20="no",_xlfn.TEXTJOIN(", ",TRUE,CG62,CG63),IF(CG20="equal",_xlfn.TEXTJOIN(", ",TRUE,CG24:CG25,CG62:CG63))))</f>
        <v/>
      </c>
      <c r="CM26" s="0">
        <f>Sheet3!AE40</f>
        <v/>
      </c>
      <c r="CY26" s="223">
        <f>IF(AND(CY23=CY24,CY24=CY25),"equal",IF(CY23=CY25,"both equal",IF(CY23=MAX(CY23:CY25),"home",IF(CY24=MAX(CY23:CY25),"draw",IF(CY25=MAX(CY23:CY25),"away",IF(OR(CY23=CY24,CY25=CY24),"either side","check"))))))</f>
        <v/>
      </c>
      <c r="CZ26" s="0">
        <f>IF(DE5=8,"draw",IF(DE6=8,"away",IF(DE7=8,"draw",IF(DE8=8,"home",IF(DE9=8,"away",IF(DE10=8,"away",IF(DE11=8,"home",IF(DE12=8,"away",IF(DE13=8,"draw",IF(DE14=8,"home","rountime"))))))))))</f>
        <v/>
      </c>
      <c r="DA26" s="201" t="n">
        <v>5</v>
      </c>
      <c r="DB26" s="202" t="inlineStr">
        <is>
          <t>:</t>
        </is>
      </c>
      <c r="DC26" s="203" t="n">
        <v>0</v>
      </c>
      <c r="DD26" s="192">
        <f>POISSON(DA26,$C$9,FALSE)*POISSON(DC26,$D$9,FALSE)*100</f>
        <v/>
      </c>
      <c r="DE26" s="204">
        <f>RANK(DD26,$DD$5:$DD$36,0)</f>
        <v/>
      </c>
      <c r="DF26" s="0">
        <f>IF(DF20="yes",_xlfn.TEXTJOIN(", ",TRUE,DF24,DF25),IF(DF20="no",_xlfn.TEXTJOIN(", ",TRUE,DF62,DF63),IF(DF20="equal",_xlfn.TEXTJOIN(", ",TRUE,DF24:DF25,DF62:DF63))))</f>
        <v/>
      </c>
      <c r="DL26" s="0">
        <f>Sheet3!AM40</f>
        <v/>
      </c>
    </row>
    <row r="27" ht="15.75" customHeight="1" s="276">
      <c r="C27" s="0">
        <f>ABS(C23-C25)</f>
        <v/>
      </c>
      <c r="D27" s="0">
        <f>IF(I5=9,"draw",IF(I6=9,"away",IF(I7=9,"draw",IF(I8=9,"home",IF(I9=9,"away",IF(I10=9,"away",IF(I11=9,"home",IF(I12=9,"away",IF(I13=9,"draw",IF(I14=9,"home","rountime"))))))))))</f>
        <v/>
      </c>
      <c r="E27" s="201" t="n">
        <v>5</v>
      </c>
      <c r="F27" s="202" t="inlineStr">
        <is>
          <t>:</t>
        </is>
      </c>
      <c r="G27" s="203" t="n">
        <v>2</v>
      </c>
      <c r="H27" s="192">
        <f>POISSON(E27,$C$5,FALSE)*POISSON(G27,$D$5,FALSE)*100</f>
        <v/>
      </c>
      <c r="I27" s="204">
        <f>RANK(H27,$H$5:$H$36,0)</f>
        <v/>
      </c>
      <c r="J27" s="0">
        <f>COUNTIF(J10:J13,0)</f>
        <v/>
      </c>
      <c r="L27" s="0">
        <f>O11</f>
        <v/>
      </c>
      <c r="M27" s="0">
        <f>R8</f>
        <v/>
      </c>
      <c r="O27" s="0">
        <f>MAX(Q28,Q29)</f>
        <v/>
      </c>
      <c r="P27" s="0">
        <f>Q14-Q52</f>
        <v/>
      </c>
      <c r="Q27" s="0">
        <f>R14-R52</f>
        <v/>
      </c>
      <c r="R27" s="0">
        <f>IF(P27&lt;0,-P27,P27)-IF(Q27&lt;0,-Q27,Q27)</f>
        <v/>
      </c>
      <c r="S27" s="0">
        <f>IF(O24="both tabs",ABS(P27)+ABS(Q27),ABS(R27))</f>
        <v/>
      </c>
      <c r="Z27" s="0">
        <f>IF(Y25="D'over","Yes","no")</f>
        <v/>
      </c>
      <c r="AB27" s="0">
        <f>ABS(AB23-AB25)</f>
        <v/>
      </c>
      <c r="AC27" s="0">
        <f>IF(AH5=9,"draw",IF(AH6=9,"away",IF(AH7=9,"draw",IF(AH8=9,"home",IF(AH9=9,"away",IF(AH10=9,"away",IF(AH11=9,"home",IF(AH12=9,"away",IF(AH13=9,"draw",IF(AH14=9,"home","rountime"))))))))))</f>
        <v/>
      </c>
      <c r="AD27" s="201" t="n">
        <v>5</v>
      </c>
      <c r="AE27" s="202">
        <f>AD27+AF27</f>
        <v/>
      </c>
      <c r="AF27" s="203" t="n">
        <v>2</v>
      </c>
      <c r="AG27" s="192">
        <f>POISSON(AD27,$C$6,FALSE)*POISSON(AF27,$D$6,FALSE)*100</f>
        <v/>
      </c>
      <c r="AH27" s="204">
        <f>RANK(AG27,$AG$5:$AG$36,0)</f>
        <v/>
      </c>
      <c r="AI27" s="0">
        <f>COUNTIF(AI10:AI13,0)</f>
        <v/>
      </c>
      <c r="AK27" s="0">
        <f>AN11</f>
        <v/>
      </c>
      <c r="AL27" s="0">
        <f>AQ8</f>
        <v/>
      </c>
      <c r="AN27" s="0">
        <f>MAX(AP28,AP29)</f>
        <v/>
      </c>
      <c r="AO27" s="0">
        <f>AP14-AP52</f>
        <v/>
      </c>
      <c r="AP27" s="0">
        <f>AQ14-AQ52</f>
        <v/>
      </c>
      <c r="AQ27" s="0">
        <f>IF(AO27&lt;0,-AO27,AO27)-IF(AP27&lt;0,-AP27,AP27)</f>
        <v/>
      </c>
      <c r="AR27" s="0">
        <f>IF(AN24="both tabs",ABS(AO27)+ABS(AP27),ABS(AQ27))</f>
        <v/>
      </c>
      <c r="BA27" s="0">
        <f>ABS(BA23-BA25)</f>
        <v/>
      </c>
      <c r="BB27" s="0">
        <f>IF(BG5=9,"draw",IF(BG6=9,"away",IF(BG7=9,"draw",IF(BG8=9,"home",IF(BG9=9,"away",IF(BG10=9,"away",IF(BG11=9,"home",IF(BG12=9,"away",IF(BG13=9,"draw",IF(BG14=9,"home","rountime"))))))))))</f>
        <v/>
      </c>
      <c r="BC27" s="201" t="n">
        <v>5</v>
      </c>
      <c r="BD27" s="202" t="inlineStr">
        <is>
          <t>:</t>
        </is>
      </c>
      <c r="BE27" s="203" t="n">
        <v>2</v>
      </c>
      <c r="BF27" s="192">
        <f>POISSON(BC27,$C$7,FALSE)*POISSON(BE27,$D$7,FALSE)*100</f>
        <v/>
      </c>
      <c r="BG27" s="204">
        <f>RANK(BF27,$BF$5:$BF$36,0)</f>
        <v/>
      </c>
      <c r="BH27" s="0">
        <f>COUNTIF(BH10:BH13,0)</f>
        <v/>
      </c>
      <c r="BJ27" s="0">
        <f>BM11</f>
        <v/>
      </c>
      <c r="BK27" s="0">
        <f>BP8</f>
        <v/>
      </c>
      <c r="BM27" s="0">
        <f>MAX(BO28,BO29)</f>
        <v/>
      </c>
      <c r="BN27" s="0">
        <f>BO14-BO52</f>
        <v/>
      </c>
      <c r="BO27" s="0">
        <f>BP14-BP52</f>
        <v/>
      </c>
      <c r="BP27" s="0">
        <f>IF(BN27&lt;0,-BN27,BN27)-IF(BO27&lt;0,-BO27,BO27)</f>
        <v/>
      </c>
      <c r="BQ27" s="0">
        <f>IF(BM24="both tabs",ABS(BN27)+ABS(BO27),ABS(BP27))</f>
        <v/>
      </c>
      <c r="BZ27" s="0">
        <f>ABS(BZ23-BZ25)</f>
        <v/>
      </c>
      <c r="CA27" s="0">
        <f>IF(CF5=9,"draw",IF(CF6=9,"away",IF(CF7=9,"draw",IF(CF8=9,"home",IF(CF9=9,"away",IF(CF10=9,"away",IF(CF11=9,"home",IF(CF12=9,"away",IF(CF13=9,"draw",IF(CF14=9,"home","rountime"))))))))))</f>
        <v/>
      </c>
      <c r="CB27" s="201" t="n">
        <v>5</v>
      </c>
      <c r="CC27" s="202" t="inlineStr">
        <is>
          <t>:</t>
        </is>
      </c>
      <c r="CD27" s="203" t="n">
        <v>2</v>
      </c>
      <c r="CE27" s="192">
        <f>POISSON(CB27,$C$8,FALSE)*POISSON(CD27,$D$8,FALSE)*100</f>
        <v/>
      </c>
      <c r="CF27" s="204">
        <f>RANK(CE27,$CE$5:$CE$36,0)</f>
        <v/>
      </c>
      <c r="CG27" s="0">
        <f>COUNTIF(CG10:CG13,0)</f>
        <v/>
      </c>
      <c r="CL27" s="0">
        <f>MAX(CN28,CN29)</f>
        <v/>
      </c>
      <c r="CM27" s="0">
        <f>CN14-CN52</f>
        <v/>
      </c>
      <c r="CN27" s="0">
        <f>CO14-CO52</f>
        <v/>
      </c>
      <c r="CO27" s="0">
        <f>IF(CM27&lt;0,-CM27,CM27)-IF(CN27&lt;0,-CN27,CN27)</f>
        <v/>
      </c>
      <c r="CP27" s="0">
        <f>IF(CL24="both tabs",ABS(CM27)+ABS(CN27),ABS(CO27))</f>
        <v/>
      </c>
      <c r="CY27" s="0">
        <f>ABS(CY23-CY25)</f>
        <v/>
      </c>
      <c r="CZ27" s="0">
        <f>IF(DE5=9,"draw",IF(DE6=9,"away",IF(DE7=9,"draw",IF(DE8=9,"home",IF(DE9=9,"away",IF(DE10=9,"away",IF(DE11=9,"home",IF(DE12=9,"away",IF(DE13=9,"draw",IF(DE14=9,"home","rountime"))))))))))</f>
        <v/>
      </c>
      <c r="DA27" s="201" t="n">
        <v>5</v>
      </c>
      <c r="DB27" s="202" t="inlineStr">
        <is>
          <t>:</t>
        </is>
      </c>
      <c r="DC27" s="203" t="n">
        <v>2</v>
      </c>
      <c r="DD27" s="192">
        <f>POISSON(DA27,$C$9,FALSE)*POISSON(DC27,$D$9,FALSE)*100</f>
        <v/>
      </c>
      <c r="DE27" s="204">
        <f>RANK(DD27,$DD$5:$DD$36,0)</f>
        <v/>
      </c>
      <c r="DF27" s="0">
        <f>COUNTIF(DF10:DF13,0)</f>
        <v/>
      </c>
      <c r="DK27" s="0">
        <f>MAX(DM28,DM29)</f>
        <v/>
      </c>
      <c r="DL27" s="0">
        <f>DM14-DM52</f>
        <v/>
      </c>
      <c r="DM27" s="0">
        <f>DN14-DN52</f>
        <v/>
      </c>
      <c r="DN27" s="0">
        <f>IF(DL27&lt;0,-DL27,DL27)-IF(DM27&lt;0,-DM27,DM27)</f>
        <v/>
      </c>
      <c r="DO27" s="0">
        <f>IF(DK24="both tabs",ABS(DL27)+ABS(DM27),ABS(DN27))</f>
        <v/>
      </c>
    </row>
    <row r="28" ht="15.75" customHeight="1" s="276">
      <c r="C28" s="0">
        <f>IF(C27&gt;1.4,"high",IF(C27&gt;0.2,"low","medium"))</f>
        <v/>
      </c>
      <c r="D28" s="0">
        <f>IF(I5=10,"draw",IF(I6=10,"away",IF(I7=10,"draw",IF(I8=10,"home",IF(I9=10,"away",IF(I10=10,"away",IF(I11=10,"home",IF(I12=10,"away",IF(I13=10,"draw",IF(I14=10,"home","rountime"))))))))))</f>
        <v/>
      </c>
      <c r="E28" s="201" t="n">
        <v>3</v>
      </c>
      <c r="F28" s="202" t="inlineStr">
        <is>
          <t>:</t>
        </is>
      </c>
      <c r="G28" s="203" t="n">
        <v>5</v>
      </c>
      <c r="H28" s="192">
        <f>POISSON(E28,$C$5,FALSE)*POISSON(G28,$D$5,FALSE)*100</f>
        <v/>
      </c>
      <c r="I28" s="204">
        <f>RANK(H28,$H$5:$H$36,0)</f>
        <v/>
      </c>
      <c r="J28" s="0">
        <f>IF(AND(K14="o2.5",K52="o2.5"),"o2.5",IF(AND(K52="o2.5",K14="u4.5"),"Rtu3.5",IF(AND(K14="o2.5",K52="u4.5"),"Rtu3.5",IF(AND(K52="u2.5",K14="u2.5"),"u2.5",IF(AND(K14="u4.5",K52="u4.5"),"u2.5+",IF(AND(K14="u4.5",K52="u2.5"),"u3.5",IF(AND(K52="u4.5",K14="u2.5"),"u3.5","check")))))))</f>
        <v/>
      </c>
      <c r="L28" s="0">
        <f>P9</f>
        <v/>
      </c>
      <c r="M28" s="0">
        <f>R9</f>
        <v/>
      </c>
      <c r="O28" s="0">
        <f>IF(Sheet3!D8="Tab1 ",Check!G7,N24)</f>
        <v/>
      </c>
      <c r="P28" s="0">
        <f>IF(AND(P27&gt;0,Q27&lt;0),"Home win",IF(AND(P27&gt;0,Q27&gt;0,P27&gt;Q27),"home win",IF(AND(P27&lt;0,Q27&gt;0),"Away win","Draw")))</f>
        <v/>
      </c>
      <c r="Q28" s="0">
        <f>IF(P27&lt;0,-P27,P27)</f>
        <v/>
      </c>
      <c r="R28" s="0">
        <f>AVERAGE(Q28,Q29)</f>
        <v/>
      </c>
      <c r="S28" s="0">
        <f>R28+R29</f>
        <v/>
      </c>
      <c r="AB28" s="0">
        <f>IF(AB27&gt;1.4,"high",IF(AB27&gt;0.2,"low","medium"))</f>
        <v/>
      </c>
      <c r="AC28" s="0">
        <f>IF(AH5=10,"draw",IF(AH6=10,"away",IF(AH7=10,"draw",IF(AH8=10,"home",IF(AH9=10,"away",IF(AH10=10,"away",IF(AH11=10,"home",IF(AH12=10,"away",IF(AH13=10,"draw",IF(AH14=10,"home","rountime"))))))))))</f>
        <v/>
      </c>
      <c r="AD28" s="201" t="n">
        <v>3</v>
      </c>
      <c r="AE28" s="202">
        <f>AD28+AF28</f>
        <v/>
      </c>
      <c r="AF28" s="203" t="n">
        <v>5</v>
      </c>
      <c r="AG28" s="192">
        <f>POISSON(AD28,$C$6,FALSE)*POISSON(AF28,$D$6,FALSE)*100</f>
        <v/>
      </c>
      <c r="AH28" s="204">
        <f>RANK(AG28,$AG$5:$AG$36,0)</f>
        <v/>
      </c>
      <c r="AI28" s="0">
        <f>IF(AND(AJ14="o2.5",AJ52="o2.5"),"o2.5",IF(AND(AJ52="o2.5",AJ14="u4.5"),"Rtu3.5",IF(AND(AJ14="o2.5",AJ52="u4.5"),"Rtu3.5",IF(AND(AJ52="u2.5",AJ14="u2.5"),"u2.5",IF(AND(AJ14="u4.5",AJ52="u4.5"),"u2.5+",IF(AND(AJ14="u4.5",AJ52="u2.5"),"u3.5",IF(AND(AJ52="u4.5",AJ14="u2.5"),"u3.5","check")))))))</f>
        <v/>
      </c>
      <c r="AK28" s="0">
        <f>AO9</f>
        <v/>
      </c>
      <c r="AL28" s="0">
        <f>AQ9</f>
        <v/>
      </c>
      <c r="AN28" s="0">
        <f>IF(Sheet3!L8="Tab1 ",Check!O7,AM24)</f>
        <v/>
      </c>
      <c r="AO28" s="0">
        <f>IF(AND(AO27&gt;0,AP27&lt;0),"Home win",IF(AND(AO27&gt;0,AP27&gt;0,AO27&gt;AP27),"home win",IF(AND(AO27&lt;0,AP27&gt;0),"Away win","Draw")))</f>
        <v/>
      </c>
      <c r="AP28" s="0">
        <f>IF(AO27&lt;0,-AO27,AO27)</f>
        <v/>
      </c>
      <c r="AQ28" s="0">
        <f>AVERAGE(AP28,AP29)</f>
        <v/>
      </c>
      <c r="AR28" s="0">
        <f>AQ28+AQ29</f>
        <v/>
      </c>
      <c r="BA28" s="0">
        <f>IF(BA27&gt;1.4,"high",IF(BA27&gt;0.2,"low","medium"))</f>
        <v/>
      </c>
      <c r="BB28" s="0">
        <f>IF(BG5=10,"draw",IF(BG6=10,"away",IF(BG7=10,"draw",IF(BG8=10,"home",IF(BG9=10,"away",IF(BG10=10,"away",IF(BG11=10,"home",IF(BG12=10,"away",IF(BG13=10,"draw",IF(BG14=10,"home","rountime"))))))))))</f>
        <v/>
      </c>
      <c r="BC28" s="201" t="n">
        <v>3</v>
      </c>
      <c r="BD28" s="202" t="inlineStr">
        <is>
          <t>:</t>
        </is>
      </c>
      <c r="BE28" s="203" t="n">
        <v>5</v>
      </c>
      <c r="BF28" s="192">
        <f>POISSON(BC28,$C$7,FALSE)*POISSON(BE28,$D$7,FALSE)*100</f>
        <v/>
      </c>
      <c r="BG28" s="204">
        <f>RANK(BF28,$BF$5:$BF$36,0)</f>
        <v/>
      </c>
      <c r="BH28" s="0">
        <f>IF(AND(BI14="o2.5",BI52="o2.5"),"o2.5",IF(AND(BI52="o2.5",BI14="u4.5"),"Rtu3.5",IF(AND(BI14="o2.5",BI52="u4.5"),"Rtu3.5",IF(AND(BI52="u2.5",BI14="u2.5"),"u2.5",IF(AND(BI14="u4.5",BI52="u4.5"),"u2.5+",IF(AND(BI14="u4.5",BI52="u2.5"),"u3.5",IF(AND(BI52="u4.5",BI14="u2.5"),"u3.5","check")))))))</f>
        <v/>
      </c>
      <c r="BJ28" s="0">
        <f>BN9</f>
        <v/>
      </c>
      <c r="BK28" s="0">
        <f>BP9</f>
        <v/>
      </c>
      <c r="BM28" s="0">
        <f>IF(Sheet3!T8="Tab1 ",Check!W7,BL24)</f>
        <v/>
      </c>
      <c r="BN28" s="0">
        <f>IF(AND(BN27&gt;0,BO27&lt;0),"Home win",IF(AND(BN27&gt;0,BO27&gt;0,BN27&gt;BO27),"home win",IF(AND(BN27&lt;0,BO27&gt;0),"Away win","Draw")))</f>
        <v/>
      </c>
      <c r="BO28" s="0">
        <f>IF(BN27&lt;0,-BN27,BN27)</f>
        <v/>
      </c>
      <c r="BP28" s="0">
        <f>AVERAGE(BO28,BO29)</f>
        <v/>
      </c>
      <c r="BQ28" s="0">
        <f>BP28+BP29</f>
        <v/>
      </c>
      <c r="BZ28" s="0">
        <f>IF(BZ27&gt;1.4,"high",IF(BZ27&gt;0.2,"low","medium"))</f>
        <v/>
      </c>
      <c r="CA28" s="0">
        <f>IF(CF5=10,"draw",IF(CF6=10,"away",IF(CF7=10,"draw",IF(CF8=10,"home",IF(CF9=10,"away",IF(CF10=10,"away",IF(CF11=10,"home",IF(CF12=10,"away",IF(CF13=10,"draw",IF(CF14=10,"home","rountime"))))))))))</f>
        <v/>
      </c>
      <c r="CB28" s="201" t="n">
        <v>3</v>
      </c>
      <c r="CC28" s="202" t="inlineStr">
        <is>
          <t>:</t>
        </is>
      </c>
      <c r="CD28" s="203" t="n">
        <v>5</v>
      </c>
      <c r="CE28" s="192">
        <f>POISSON(CB28,$C$8,FALSE)*POISSON(CD28,$D$8,FALSE)*100</f>
        <v/>
      </c>
      <c r="CF28" s="204">
        <f>RANK(CE28,$CE$5:$CE$36,0)</f>
        <v/>
      </c>
      <c r="CG28" s="0">
        <f>IF(AND(CH14="o2.5",CH52="o2.5"),"o2.5",IF(AND(CH52="o2.5",CH14="u4.5"),"Rtu3.5",IF(AND(CH14="o2.5",CH52="u4.5"),"Rtu3.5",IF(AND(CH52="u2.5",CH14="u2.5"),"u2.5",IF(AND(CH14="u4.5",CH52="u4.5"),"u2.5+",IF(AND(CH14="u4.5",CH52="u2.5"),"u3.5",IF(AND(CH52="u4.5",CH14="u2.5"),"u3.5","check")))))))</f>
        <v/>
      </c>
      <c r="CL28" s="0">
        <f>IF(Sheet3!AB8="Tab1 ",Check!AE7,CK24)</f>
        <v/>
      </c>
      <c r="CM28" s="0">
        <f>IF(AND(CM27&gt;0,CN27&lt;0),"Home win",IF(AND(CM27&gt;0,CN27&gt;0,CM27&gt;CN27),"home win",IF(AND(CM27&lt;0,CN27&gt;0),"Away win","Draw")))</f>
        <v/>
      </c>
      <c r="CN28" s="0">
        <f>IF(CM27&lt;0,-CM27,CM27)</f>
        <v/>
      </c>
      <c r="CO28" s="0">
        <f>AVERAGE(CN28,CN29)</f>
        <v/>
      </c>
      <c r="CP28" s="0">
        <f>CO28+CO29</f>
        <v/>
      </c>
      <c r="CY28" s="0">
        <f>IF(CY27&gt;1.4,"high",IF(CY27&gt;0.2,"low","medium"))</f>
        <v/>
      </c>
      <c r="CZ28" s="0">
        <f>IF(DE5=10,"draw",IF(DE6=10,"away",IF(DE7=10,"draw",IF(DE8=10,"home",IF(DE9=10,"away",IF(DE10=10,"away",IF(DE11=10,"home",IF(DE12=10,"away",IF(DE13=10,"draw",IF(DE14=10,"home","rountime"))))))))))</f>
        <v/>
      </c>
      <c r="DA28" s="201" t="n">
        <v>3</v>
      </c>
      <c r="DB28" s="202" t="inlineStr">
        <is>
          <t>:</t>
        </is>
      </c>
      <c r="DC28" s="203" t="n">
        <v>5</v>
      </c>
      <c r="DD28" s="192">
        <f>POISSON(DA28,$C$9,FALSE)*POISSON(DC28,$D$9,FALSE)*100</f>
        <v/>
      </c>
      <c r="DE28" s="204">
        <f>RANK(DD28,$DD$5:$DD$36,0)</f>
        <v/>
      </c>
      <c r="DF28" s="0">
        <f>IF(AND(DG14="o2.5",DG52="o2.5"),"o2.5",IF(AND(DG52="o2.5",DG14="u4.5"),"Rtu3.5",IF(AND(DG14="o2.5",DG52="u4.5"),"Rtu3.5",IF(AND(DG52="u2.5",DG14="u2.5"),"u2.5",IF(AND(DG14="u4.5",DG52="u4.5"),"u2.5+",IF(AND(DG14="u4.5",DG52="u2.5"),"u3.5",IF(AND(DG52="u4.5",DG14="u2.5"),"u3.5","check")))))))</f>
        <v/>
      </c>
      <c r="DK28" s="0">
        <f>IF(Sheet3!AJ8="Tab1 ",Check!AM7,DJ24)</f>
        <v/>
      </c>
      <c r="DL28" s="0">
        <f>IF(AND(DL27&gt;0,DM27&lt;0),"Home win",IF(AND(DL27&gt;0,DM27&gt;0,DL27&gt;DM27),"home win",IF(AND(DL27&lt;0,DM27&gt;0),"Away win","Draw")))</f>
        <v/>
      </c>
      <c r="DM28" s="0">
        <f>IF(DL27&lt;0,-DL27,DL27)</f>
        <v/>
      </c>
      <c r="DN28" s="0">
        <f>AVERAGE(DM28,DM29)</f>
        <v/>
      </c>
      <c r="DO28" s="0">
        <f>DN28+DN29</f>
        <v/>
      </c>
    </row>
    <row r="29" ht="15.75" customHeight="1" s="276">
      <c r="C29" s="0">
        <f>C23/(C23+C24+C25)*100</f>
        <v/>
      </c>
      <c r="D29" s="0">
        <f>C24/(C23+C24+C25)*100</f>
        <v/>
      </c>
      <c r="E29" s="201" t="n">
        <v>4</v>
      </c>
      <c r="F29" s="202" t="inlineStr">
        <is>
          <t>:</t>
        </is>
      </c>
      <c r="G29" s="203" t="n">
        <v>4</v>
      </c>
      <c r="H29" s="192">
        <f>POISSON(E29,$C$5,FALSE)*POISSON(G29,$D$5,FALSE)*100</f>
        <v/>
      </c>
      <c r="I29" s="204">
        <f>RANK(H29,$H$5:$H$36,0)</f>
        <v/>
      </c>
      <c r="L29" s="0">
        <f>P10</f>
        <v/>
      </c>
      <c r="M29" s="0">
        <f>S6</f>
        <v/>
      </c>
      <c r="O29" s="0">
        <f>IF(AND(P26="away",OR(R29&gt;0.7,R29&lt;-0.1),O24="Both Tabs"),"away",IF(AND(P26="home",OR(R29&gt;0.7,R29&lt;-0.1),O24="Both Tabs"),"home"))</f>
        <v/>
      </c>
      <c r="P29" s="0">
        <f>IF(P28="home win",IF(R27&lt;0,-R27,R27),IF(P28="draw",IF(R27&lt;0,-R27,R27),IF(P28="away win",IF(R27&lt;0,-R27,R27))))</f>
        <v/>
      </c>
      <c r="Q29" s="0">
        <f>IF(Q27&lt;0,-Q27,Q27)</f>
        <v/>
      </c>
      <c r="R29" s="0">
        <f>ABS(R28-P29)</f>
        <v/>
      </c>
      <c r="S29" s="0">
        <f>S27/R29</f>
        <v/>
      </c>
      <c r="AB29" s="0">
        <f>AB23/(AB23+AB24+AB25)*100</f>
        <v/>
      </c>
      <c r="AC29" s="0">
        <f>AB24/(AB23+AB24+AB25)*100</f>
        <v/>
      </c>
      <c r="AD29" s="201" t="n">
        <v>4</v>
      </c>
      <c r="AE29" s="202">
        <f>AD29+AF29</f>
        <v/>
      </c>
      <c r="AF29" s="203" t="n">
        <v>4</v>
      </c>
      <c r="AG29" s="192">
        <f>POISSON(AD29,$C$6,FALSE)*POISSON(AF29,$D$6,FALSE)*100</f>
        <v/>
      </c>
      <c r="AH29" s="204">
        <f>RANK(AG29,$AG$5:$AG$36,0)</f>
        <v/>
      </c>
      <c r="AK29" s="0">
        <f>AO10</f>
        <v/>
      </c>
      <c r="AL29" s="0">
        <f>AR6</f>
        <v/>
      </c>
      <c r="AN29" s="0">
        <f>IF(AND(AO26="away",OR(AQ29&gt;0.7,AQ29&lt;-0.1),AN24="Both Tabs"),"away",IF(AND(AO26="home",OR(AQ29&gt;0.7,AQ29&lt;-0.1),AN24="Both Tabs"),"home"))</f>
        <v/>
      </c>
      <c r="AO29" s="0">
        <f>IF(AO28="home win",IF(AQ27&lt;0,-AQ27,AQ27),IF(AO28="draw",IF(AQ27&lt;0,-AQ27,AQ27),IF(AO28="away win",IF(AQ27&lt;0,-AQ27,AQ27))))</f>
        <v/>
      </c>
      <c r="AP29" s="0">
        <f>IF(AP27&lt;0,-AP27,AP27)</f>
        <v/>
      </c>
      <c r="AQ29" s="0">
        <f>ABS(AQ28-AO29)</f>
        <v/>
      </c>
      <c r="AR29" s="0">
        <f>AR27/AQ29</f>
        <v/>
      </c>
      <c r="BA29" s="0">
        <f>BA23/(BA23+BA24+BA25)*100</f>
        <v/>
      </c>
      <c r="BB29" s="0">
        <f>BA24/(BA23+BA24+BA25)*100</f>
        <v/>
      </c>
      <c r="BC29" s="201" t="n">
        <v>4</v>
      </c>
      <c r="BD29" s="202" t="inlineStr">
        <is>
          <t>:</t>
        </is>
      </c>
      <c r="BE29" s="203" t="n">
        <v>4</v>
      </c>
      <c r="BF29" s="192">
        <f>POISSON(BC29,$C$7,FALSE)*POISSON(BE29,$D$7,FALSE)*100</f>
        <v/>
      </c>
      <c r="BG29" s="204">
        <f>RANK(BF29,$BF$5:$BF$36,0)</f>
        <v/>
      </c>
      <c r="BJ29" s="0">
        <f>BN10</f>
        <v/>
      </c>
      <c r="BK29" s="0">
        <f>BQ6</f>
        <v/>
      </c>
      <c r="BM29" s="0">
        <f>IF(AND(BN26="away",OR(BP29&gt;0.7,BP29&lt;-0.1),BM24="Both Tabs"),"away",IF(AND(BN26="home",OR(BP29&gt;0.7,BP29&lt;-0.1),BM24="Both Tabs"),"home"))</f>
        <v/>
      </c>
      <c r="BN29" s="0">
        <f>IF(BN28="home win",IF(BP27&lt;0,-BP27,BP27),IF(BN28="draw",IF(BP27&lt;0,-BP27,BP27),IF(BN28="away win",IF(BP27&lt;0,-BP27,BP27))))</f>
        <v/>
      </c>
      <c r="BO29" s="0">
        <f>IF(BO27&lt;0,-BO27,BO27)</f>
        <v/>
      </c>
      <c r="BP29" s="0">
        <f>ABS(BP28-BN29)</f>
        <v/>
      </c>
      <c r="BQ29" s="0">
        <f>BQ27/BP29</f>
        <v/>
      </c>
      <c r="BZ29" s="0">
        <f>BZ23/(BZ23+BZ24+BZ25)*100</f>
        <v/>
      </c>
      <c r="CA29" s="224">
        <f>BZ24/(BZ23+BZ24+BZ25)*100</f>
        <v/>
      </c>
      <c r="CB29" s="201" t="n">
        <v>4</v>
      </c>
      <c r="CC29" s="202" t="inlineStr">
        <is>
          <t>:</t>
        </is>
      </c>
      <c r="CD29" s="203" t="n">
        <v>4</v>
      </c>
      <c r="CE29" s="192">
        <f>POISSON(CB29,$C$8,FALSE)*POISSON(CD29,$D$8,FALSE)*100</f>
        <v/>
      </c>
      <c r="CF29" s="204">
        <f>RANK(CE29,$CE$5:$CE$36,0)</f>
        <v/>
      </c>
      <c r="CL29" s="0">
        <f>IF(AND(CM26="away",OR(CO29&gt;0.7,CO29&lt;-0.1),CL24="Both Tabs"),"away",IF(AND(CM26="home",OR(CO29&gt;0.7,CO29&lt;-0.1),CL24="Both Tabs"),"home"))</f>
        <v/>
      </c>
      <c r="CM29" s="0">
        <f>IF(CM28="home win",IF(CO27&lt;0,-CO27,CO27),IF(CM28="draw",IF(CO27&lt;0,-CO27,CO27),IF(CM28="away win",IF(CO27&lt;0,-CO27,CO27))))</f>
        <v/>
      </c>
      <c r="CN29" s="0">
        <f>IF(CN27&lt;0,-CN27,CN27)</f>
        <v/>
      </c>
      <c r="CO29" s="0">
        <f>ABS(CO28-CM29)</f>
        <v/>
      </c>
      <c r="CP29" s="0">
        <f>CP27/CO29</f>
        <v/>
      </c>
      <c r="CY29" s="0">
        <f>CY23/(CY23+CY24+CY25)*100</f>
        <v/>
      </c>
      <c r="CZ29" s="0">
        <f>CY24/(CY23+CY24+CY25)*100</f>
        <v/>
      </c>
      <c r="DA29" s="201" t="n">
        <v>4</v>
      </c>
      <c r="DB29" s="202" t="inlineStr">
        <is>
          <t>:</t>
        </is>
      </c>
      <c r="DC29" s="203" t="n">
        <v>4</v>
      </c>
      <c r="DD29" s="192">
        <f>POISSON(DA29,$C$9,FALSE)*POISSON(DC29,$D$9,FALSE)*100</f>
        <v/>
      </c>
      <c r="DE29" s="204">
        <f>RANK(DD29,$DD$5:$DD$36,0)</f>
        <v/>
      </c>
      <c r="DK29" s="0">
        <f>IF(AND(DL26="away",OR(DN29&gt;0.7,DN29&lt;-0.1),DK24="Both Tabs"),"away",IF(AND(DL26="home",OR(DN29&gt;0.7,DN29&lt;-0.1),DK24="Both Tabs"),"home"))</f>
        <v/>
      </c>
      <c r="DL29" s="0">
        <f>IF(DL28="home win",IF(DN27&lt;0,-DN27,DN27),IF(DL28="draw",IF(DN27&lt;0,-DN27,DN27),IF(DL28="away win",IF(DN27&lt;0,-DN27,DN27))))</f>
        <v/>
      </c>
      <c r="DM29" s="0">
        <f>IF(DM27&lt;0,-DM27,DM27)</f>
        <v/>
      </c>
      <c r="DN29" s="0">
        <f>ABS(DN28-DL29)</f>
        <v/>
      </c>
      <c r="DO29" s="0">
        <f>DO27/DN29</f>
        <v/>
      </c>
    </row>
    <row r="30" ht="18" customHeight="1" s="276">
      <c r="C30" s="0">
        <f>C25/(C23+C24+C25)*100</f>
        <v/>
      </c>
      <c r="D30" s="0">
        <f>IF(AND(C29=D29,D29=C30),"all equal",IF(C29=C30,"both equal",IF(OR(C29=D29,C30=D29),"equal",IF(C29=MAX(C29,C30),"home","away"))))</f>
        <v/>
      </c>
      <c r="E30" s="201" t="n">
        <v>5</v>
      </c>
      <c r="F30" s="202" t="inlineStr">
        <is>
          <t>:</t>
        </is>
      </c>
      <c r="G30" s="203" t="n">
        <v>3</v>
      </c>
      <c r="H30" s="192">
        <f>POISSON(E30,$C$5,FALSE)*POISSON(G30,$D$5,FALSE)*100</f>
        <v/>
      </c>
      <c r="I30" s="204">
        <f>RANK(H30,$H$5:$H$36,0)</f>
        <v/>
      </c>
      <c r="K30" s="225" t="n"/>
      <c r="L30" s="225">
        <f>P11</f>
        <v/>
      </c>
      <c r="M30" s="0">
        <f>S7</f>
        <v/>
      </c>
      <c r="O30" s="0">
        <f>IF(AND(O28="away",P28="away win",R30="D"),"ignore",IF(AND(O28="home",P28="home win",R30="D"),"ignore",IF(AND(O28="away",P28="away win",R30="B"),"Awin",IF(AND(O28="away",P28="away win",R30="B1"),"double away",IF(AND(O28="home",P28="home win",R30="B")," double home",IF(AND(O28="home",P28="home win",R30="B1"),"Hwin",IF(AND(O28="away",P28="away win",R30="A"),"Awin",IF(AND(O28="away",P28="away win",R30="A1"),"double away",IF(AND(O28="home",P28="home win",R30="A1"),"Hwin",IF(AND(O28="home",P28="home win",R30="A")," double home",IF(AND(O28="home",P28="draw",R30="d"),"ignore",IF(AND(O28="home",P28="draw",R30="B"),"double home",IF(AND(O28="home",P28="draw",R30="A"),"double home",IF(AND(O28="home",P28="draw",R30="A1"),"2 handicap home",IF(AND(O28="home",P28="draw",R30="B1"),"2 handicap home",IF(AND(O28="away",P28="draw",R30="d"),"ignore",IF(AND(O28="away",P28="draw",R30="B1"),"double away",IF(AND(O28="away",P28="draw",R30="A1"),"double away",IF(AND(O28="away",P28="draw",R30="B"),"2 HANDICAP AWAY",IF(AND(O28="away",P28="draw",R30="a"),"2 HANDICAP AWAY"))))))))))))))))))))</f>
        <v/>
      </c>
      <c r="P30" s="0">
        <f>P29-Q30</f>
        <v/>
      </c>
      <c r="Q30" s="0">
        <f>IF(R29&lt;0,-R29,R29)</f>
        <v/>
      </c>
      <c r="R30" s="0">
        <f>IF(AND(R29&lt;0.5,R29&gt;-0.5),"D",IF(AND(R29&lt;1,R29&gt;0.5),"B",IF(AND(R29&lt;-0.5,R29&gt;-1),"B1",IF(R29&gt;1,"A","A1"))))</f>
        <v/>
      </c>
      <c r="S30" s="0">
        <f>S29-S28</f>
        <v/>
      </c>
      <c r="AB30" s="0">
        <f>AB25/(AB23+AB24+AB25)*100</f>
        <v/>
      </c>
      <c r="AC30" s="0">
        <f>IF(AND(AB29=AC29,AC29=AB30),"all equal",IF(AB29=AB30,"both equal",IF(OR(AB29=AC29,AB30=AC29),"equal",IF(AB29=MAX(AB29,AB30),"home","away"))))</f>
        <v/>
      </c>
      <c r="AD30" s="201" t="n">
        <v>5</v>
      </c>
      <c r="AE30" s="202">
        <f>AD30+AF30</f>
        <v/>
      </c>
      <c r="AF30" s="203" t="n">
        <v>3</v>
      </c>
      <c r="AG30" s="192">
        <f>POISSON(AD30,$C$6,FALSE)*POISSON(AF30,$D$6,FALSE)*100</f>
        <v/>
      </c>
      <c r="AH30" s="204">
        <f>RANK(AG30,$AG$5:$AG$36,0)</f>
        <v/>
      </c>
      <c r="AK30" s="0">
        <f>AO11</f>
        <v/>
      </c>
      <c r="AL30" s="0">
        <f>AR7</f>
        <v/>
      </c>
      <c r="AN30" s="0">
        <f>IF(AND(AN28="away",AO28="away win",AQ30="D"),"ignore",IF(AND(AN28="home",AO28="home win",AQ30="D"),"ignore",IF(AND(AN28="away",AO28="away win",AQ30="B"),"Awin",IF(AND(AN28="away",AO28="away win",AQ30="B1"),"double away",IF(AND(AN28="home",AO28="home win",AQ30="B")," double home",IF(AND(AN28="home",AO28="home win",AQ30="B1"),"Hwin",IF(AND(AN28="away",AO28="away win",AQ30="A"),"Awin",IF(AND(AN28="away",AO28="away win",AQ30="A1"),"double away",IF(AND(AN28="home",AO28="home win",AQ30="A1"),"Hwin",IF(AND(AN28="home",AO28="home win",AQ30="A")," double home",IF(AND(AN28="home",AO28="draw",AQ30="d"),"ignore",IF(AND(AN28="home",AO28="draw",AQ30="B"),"double home",IF(AND(AN28="home",AO28="draw",AQ30="A"),"double home",IF(AND(AN28="home",AO28="draw",AQ30="A1"),"2 handicap home",IF(AND(AN28="home",AO28="draw",AQ30="B1"),"2 handicap home",IF(AND(AN28="away",AO28="draw",AQ30="d"),"ignore",IF(AND(AN28="away",AO28="draw",AQ30="B1"),"double away",IF(AND(AN28="away",AO28="draw",AQ30="A1"),"double away",IF(AND(AN28="away",AO28="draw",AQ30="B"),"2 HANDICAP AWAY",IF(AND(AN28="away",AO28="draw",AQ30="a"),"2 HANDICAP AWAY"))))))))))))))))))))</f>
        <v/>
      </c>
      <c r="AO30" s="0">
        <f>AO29-AP30</f>
        <v/>
      </c>
      <c r="AP30" s="0">
        <f>IF(AQ29&lt;0,-AQ29,AQ29)</f>
        <v/>
      </c>
      <c r="AQ30" s="0">
        <f>IF(AND(AQ29&lt;0.5,AQ29&gt;-0.5),"D",IF(AND(AQ29&lt;1,AQ29&gt;0.5),"B",IF(AND(AQ29&lt;-0.5,AQ29&gt;-1),"B1",IF(AQ29&gt;1,"A","A1"))))</f>
        <v/>
      </c>
      <c r="AR30" s="0">
        <f>AR29-AR28</f>
        <v/>
      </c>
      <c r="BA30" s="0">
        <f>BA25/(BA23+BA24+BA25)*100</f>
        <v/>
      </c>
      <c r="BB30" s="0">
        <f>IF(AND(BA29=BB29,BB29=BA30),"all equal",IF(BA29=BA30,"both equal",IF(OR(BA29=BB29,BA30=BB29),"equal",IF(BA29=MAX(BA29,BA30),"home","away"))))</f>
        <v/>
      </c>
      <c r="BC30" s="201" t="n">
        <v>5</v>
      </c>
      <c r="BD30" s="202" t="inlineStr">
        <is>
          <t>:</t>
        </is>
      </c>
      <c r="BE30" s="203" t="n">
        <v>3</v>
      </c>
      <c r="BF30" s="192">
        <f>POISSON(BC30,$C$7,FALSE)*POISSON(BE30,$D$7,FALSE)*100</f>
        <v/>
      </c>
      <c r="BG30" s="204">
        <f>RANK(BF30,$BF$5:$BF$36,0)</f>
        <v/>
      </c>
      <c r="BJ30" s="0">
        <f>BN11</f>
        <v/>
      </c>
      <c r="BK30" s="0">
        <f>BQ7</f>
        <v/>
      </c>
      <c r="BM30" s="0">
        <f>IF(AND(BM28="away",BN28="away win",BP30="D"),"ignore",IF(AND(BM28="home",BN28="home win",BP30="D"),"ignore",IF(AND(BM28="away",BN28="away win",BP30="B"),"Awin",IF(AND(BM28="away",BN28="away win",BP30="B1"),"double away",IF(AND(BM28="home",BN28="home win",BP30="B")," double home",IF(AND(BM28="home",BN28="home win",BP30="B1"),"Hwin",IF(AND(BM28="away",BN28="away win",BP30="A"),"Awin",IF(AND(BM28="away",BN28="away win",BP30="A1"),"double away",IF(AND(BM28="home",BN28="home win",BP30="A1"),"Hwin",IF(AND(BM28="home",BN28="home win",BP30="A")," double home",IF(AND(BM28="home",BN28="draw",BP30="d"),"ignore",IF(AND(BM28="home",BN28="draw",BP30="B"),"double home",IF(AND(BM28="home",BN28="draw",BP30="A"),"double home",IF(AND(BM28="home",BN28="draw",BP30="A1"),"2 handicap home",IF(AND(BM28="home",BN28="draw",BP30="B1"),"2 handicap home",IF(AND(BM28="away",BN28="draw",BP30="d"),"ignore",IF(AND(BM28="away",BN28="draw",BP30="B1"),"double away",IF(AND(BM28="away",BN28="draw",BP30="A1"),"double away",IF(AND(BM28="away",BN28="draw",BP30="B"),"2 HANDICAP AWAY",IF(AND(BM28="away",BN28="draw",BP30="a"),"2 HANDICAP AWAY"))))))))))))))))))))</f>
        <v/>
      </c>
      <c r="BN30" s="0">
        <f>BN29-BO30</f>
        <v/>
      </c>
      <c r="BO30" s="0">
        <f>IF(BP29&lt;0,-BP29,BP29)</f>
        <v/>
      </c>
      <c r="BP30" s="0">
        <f>IF(AND(BP29&lt;0.5,BP29&gt;-0.5),"D",IF(AND(BP29&lt;1,BP29&gt;0.5),"B",IF(AND(BP29&lt;-0.5,BP29&gt;-1),"B1",IF(BP29&gt;1,"A","A1"))))</f>
        <v/>
      </c>
      <c r="BQ30" s="0">
        <f>BQ29-BQ28</f>
        <v/>
      </c>
      <c r="BZ30" s="224">
        <f>BZ25/(BZ23+BZ24+BZ25)*100</f>
        <v/>
      </c>
      <c r="CA30" s="0">
        <f>IF(AND(BZ29=CA29,CA29=BZ30),"all equal",IF(BZ29=BZ30,"both equal",IF(OR(BZ29=CA29,BZ30=CA29),"equal",IF(BZ29=MAX(BZ29,BZ30),"home","away"))))</f>
        <v/>
      </c>
      <c r="CB30" s="201" t="n">
        <v>5</v>
      </c>
      <c r="CC30" s="202" t="inlineStr">
        <is>
          <t>:</t>
        </is>
      </c>
      <c r="CD30" s="203" t="n">
        <v>3</v>
      </c>
      <c r="CE30" s="192">
        <f>POISSON(CB30,$C$8,FALSE)*POISSON(CD30,$D$8,FALSE)*100</f>
        <v/>
      </c>
      <c r="CF30" s="204">
        <f>RANK(CE30,$CE$5:$CE$36,0)</f>
        <v/>
      </c>
      <c r="CL30" s="0">
        <f>IF(AND(CL28="away",CM28="away win",CO30="D"),"ignore",IF(AND(CL28="home",CM28="home win",CO30="D"),"ignore",IF(AND(CL28="away",CM28="away win",CO30="B"),"Awin",IF(AND(CL28="away",CM28="away win",CO30="B1"),"double away",IF(AND(CL28="home",CM28="home win",CO30="B")," double home",IF(AND(CL28="home",CM28="home win",CO30="B1"),"Hwin",IF(AND(CL28="away",CM28="away win",CO30="A"),"Awin",IF(AND(CL28="away",CM28="away win",CO30="A1"),"double away",IF(AND(CL28="home",CM28="home win",CO30="A1"),"Hwin",IF(AND(CL28="home",CM28="home win",CO30="A")," double home",IF(AND(CL28="home",CM28="draw",CO30="d"),"ignore",IF(AND(CL28="home",CM28="draw",CO30="B"),"double home",IF(AND(CL28="home",CM28="draw",CO30="A"),"double home",IF(AND(CL28="home",CM28="draw",CO30="A1"),"2 handicap home",IF(AND(CL28="home",CM28="draw",CO30="B1"),"2 handicap home",IF(AND(CL28="away",CM28="draw",CO30="d"),"ignore",IF(AND(CL28="away",CM28="draw",CO30="B1"),"double away",IF(AND(CL28="away",CM28="draw",CO30="A1"),"double away",IF(AND(CL28="away",CM28="draw",CO30="B"),"2 HANDICAP AWAY",IF(AND(CL28="away",CM28="draw",CO30="a"),"2 HANDICAP AWAY"))))))))))))))))))))</f>
        <v/>
      </c>
      <c r="CM30" s="0">
        <f>CM29-CN30</f>
        <v/>
      </c>
      <c r="CN30" s="0">
        <f>IF(CO29&lt;0,-CO29,CO29)</f>
        <v/>
      </c>
      <c r="CO30" s="0">
        <f>IF(AND(CO29&lt;0.5,CO29&gt;-0.5),"D",IF(AND(CO29&lt;1,CO29&gt;0.5),"B",IF(AND(CO29&lt;-0.5,CO29&gt;-1),"B1",IF(CO29&gt;1,"A","A1"))))</f>
        <v/>
      </c>
      <c r="CP30" s="0">
        <f>CP29-CP28</f>
        <v/>
      </c>
      <c r="CY30" s="0">
        <f>CY25/(CY23+CY24+CY25)*100</f>
        <v/>
      </c>
      <c r="CZ30" s="0">
        <f>IF(AND(CY29=CZ29,CZ29=CY30),"all equal",IF(CY29=CY30,"both equal",IF(OR(CY29=CZ29,CY30=CZ29),"equal",IF(CY29=MAX(CY29,CY30),"home","away"))))</f>
        <v/>
      </c>
      <c r="DA30" s="201" t="n">
        <v>5</v>
      </c>
      <c r="DB30" s="202" t="inlineStr">
        <is>
          <t>:</t>
        </is>
      </c>
      <c r="DC30" s="203" t="n">
        <v>3</v>
      </c>
      <c r="DD30" s="192">
        <f>POISSON(DA30,$C$9,FALSE)*POISSON(DC30,$D$9,FALSE)*100</f>
        <v/>
      </c>
      <c r="DE30" s="204">
        <f>RANK(DD30,$DD$5:$DD$36,0)</f>
        <v/>
      </c>
      <c r="DK30" s="0">
        <f>IF(AND(DK28="away",DL28="away win",DN30="D"),"ignore",IF(AND(DK28="home",DL28="home win",DN30="D"),"ignore",IF(AND(DK28="away",DL28="away win",DN30="B"),"Awin",IF(AND(DK28="away",DL28="away win",DN30="B1"),"double away",IF(AND(DK28="home",DL28="home win",DN30="B")," double home",IF(AND(DK28="home",DL28="home win",DN30="B1"),"Hwin",IF(AND(DK28="away",DL28="away win",DN30="A"),"Awin",IF(AND(DK28="away",DL28="away win",DN30="A1"),"double away",IF(AND(DK28="home",DL28="home win",DN30="A1"),"Hwin",IF(AND(DK28="home",DL28="home win",DN30="A")," double home",IF(AND(DK28="home",DL28="draw",DN30="d"),"ignore",IF(AND(DK28="home",DL28="draw",DN30="B"),"double home",IF(AND(DK28="home",DL28="draw",DN30="A"),"double home",IF(AND(DK28="home",DL28="draw",DN30="A1"),"2 handicap home",IF(AND(DK28="home",DL28="draw",DN30="B1"),"2 handicap home",IF(AND(DK28="away",DL28="draw",DN30="d"),"ignore",IF(AND(DK28="away",DL28="draw",DN30="B1"),"double away",IF(AND(DK28="away",DL28="draw",DN30="A1"),"double away",IF(AND(DK28="away",DL28="draw",DN30="B"),"2 HANDICAP AWAY",IF(AND(DK28="away",DL28="draw",DN30="a"),"2 HANDICAP AWAY"))))))))))))))))))))</f>
        <v/>
      </c>
      <c r="DL30" s="0">
        <f>DL29-DM30</f>
        <v/>
      </c>
      <c r="DM30" s="0">
        <f>IF(DN29&lt;0,-DN29,DN29)</f>
        <v/>
      </c>
      <c r="DN30" s="0">
        <f>IF(AND(DN29&lt;0.5,DN29&gt;-0.5),"D",IF(AND(DN29&lt;1,DN29&gt;0.5),"B",IF(AND(DN29&lt;-0.5,DN29&gt;-1),"B1",IF(DN29&gt;1,"A","A1"))))</f>
        <v/>
      </c>
      <c r="DO30" s="0">
        <f>DO29-DO28</f>
        <v/>
      </c>
    </row>
    <row r="31" ht="21.75" customHeight="1" s="276">
      <c r="E31" s="201" t="n">
        <v>4</v>
      </c>
      <c r="F31" s="202" t="inlineStr">
        <is>
          <t>:</t>
        </is>
      </c>
      <c r="G31" s="203" t="n">
        <v>5</v>
      </c>
      <c r="H31" s="192">
        <f>POISSON(E31,$C$5,FALSE)*POISSON(G31,$D$5,FALSE)*100</f>
        <v/>
      </c>
      <c r="I31" s="204">
        <f>RANK(H31,$H$5:$H$36,0)</f>
        <v/>
      </c>
      <c r="K31" s="225" t="n"/>
      <c r="L31" s="225">
        <f>Q10</f>
        <v/>
      </c>
      <c r="M31" s="0">
        <f>S8</f>
        <v/>
      </c>
      <c r="N31" s="0" t="inlineStr">
        <is>
          <t xml:space="preserve"> Carrarese </t>
        </is>
      </c>
      <c r="P31" s="0">
        <f>IF(AND(R27&lt;0,R29&lt;0,Q32&lt;1.2),"under",IF(Q32&lt;0.35,"u2.5",IF(Q32&lt;0.66,"u 3.5","not visible")))</f>
        <v/>
      </c>
      <c r="Q31" s="0">
        <f>MAX(P30,Q30)</f>
        <v/>
      </c>
      <c r="R31" s="0">
        <f>IF(AND(R27&lt;0,R29&gt;0,Q31=Q30),"over",IF(AND(R27&lt;0,R29&lt;0,Q31=P30),"over +",IF(AND(R27&gt;0,R29&gt;0,P30=Q31),"under","not visible")))</f>
        <v/>
      </c>
      <c r="AD31" s="201" t="n">
        <v>4</v>
      </c>
      <c r="AE31" s="202">
        <f>AD31+AF31</f>
        <v/>
      </c>
      <c r="AF31" s="203" t="n">
        <v>5</v>
      </c>
      <c r="AG31" s="192">
        <f>POISSON(AD31,$C$6,FALSE)*POISSON(AF31,$D$6,FALSE)*100</f>
        <v/>
      </c>
      <c r="AH31" s="204">
        <f>RANK(AG31,$AG$5:$AG$36,0)</f>
        <v/>
      </c>
      <c r="AK31" s="0">
        <f>AP10</f>
        <v/>
      </c>
      <c r="AL31" s="0">
        <f>AR8</f>
        <v/>
      </c>
      <c r="AO31" s="0">
        <f>IF(AND(AQ27&lt;0,AQ29&lt;0,AP32&lt;1.2),"under",IF(AP32&lt;0.35,"u2.5",IF(AP32&lt;0.66,"u 3.5","not visible")))</f>
        <v/>
      </c>
      <c r="AP31" s="0">
        <f>MAX(AO30,AP30)</f>
        <v/>
      </c>
      <c r="AQ31" s="0">
        <f>IF(AND(AQ27&lt;0,AQ29&gt;0,AP31=AP30),"over",IF(AND(AQ27&lt;0,AQ29&lt;0,AP31=AO30),"over +",IF(AND(AQ27&gt;0,AQ29&gt;0,AO30=AP31),"under","not visible")))</f>
        <v/>
      </c>
      <c r="BC31" s="201" t="n">
        <v>4</v>
      </c>
      <c r="BD31" s="202" t="inlineStr">
        <is>
          <t>:</t>
        </is>
      </c>
      <c r="BE31" s="203" t="n">
        <v>5</v>
      </c>
      <c r="BF31" s="192">
        <f>POISSON(BC31,$C$7,FALSE)*POISSON(BE31,$D$7,FALSE)*100</f>
        <v/>
      </c>
      <c r="BG31" s="204">
        <f>RANK(BF31,$BF$5:$BF$36,0)</f>
        <v/>
      </c>
      <c r="BJ31" s="0">
        <f>BO10</f>
        <v/>
      </c>
      <c r="BK31" s="0">
        <f>BQ8</f>
        <v/>
      </c>
      <c r="BN31" s="0">
        <f>IF(AND(BP27&lt;0,BP29&lt;0,BO32&lt;1.2),"under",IF(BO32&lt;0.35,"u2.5",IF(BO32&lt;0.66,"u 3.5","not visible")))</f>
        <v/>
      </c>
      <c r="BO31" s="0">
        <f>MAX(BN30,BO30)</f>
        <v/>
      </c>
      <c r="BP31" s="0">
        <f>IF(AND(BP27&lt;0,BP29&gt;0,BO31=BO30),"over",IF(AND(BP27&lt;0,BP29&lt;0,BO31=BN30),"over +",IF(AND(BP27&gt;0,BP29&gt;0,BN30=BO31),"under","not visible")))</f>
        <v/>
      </c>
      <c r="CB31" s="201" t="n">
        <v>4</v>
      </c>
      <c r="CC31" s="202" t="inlineStr">
        <is>
          <t>:</t>
        </is>
      </c>
      <c r="CD31" s="203" t="n">
        <v>5</v>
      </c>
      <c r="CE31" s="192">
        <f>POISSON(CB31,$C$8,FALSE)*POISSON(CD31,$D$8,FALSE)*100</f>
        <v/>
      </c>
      <c r="CF31" s="204">
        <f>RANK(CE31,$CE$5:$CE$36,0)</f>
        <v/>
      </c>
      <c r="CM31" s="0">
        <f>IF(AND(CO27&lt;0,CO29&lt;0,CN32&lt;1.2),"under",IF(CN32&lt;0.35,"u2.5",IF(CN32&lt;0.66,"u 3.5","not visible")))</f>
        <v/>
      </c>
      <c r="CN31" s="0">
        <f>MAX(CM30,CN30)</f>
        <v/>
      </c>
      <c r="CO31" s="0">
        <f>IF(AND(CO27&lt;0,CO29&gt;0,CN31=CN30),"over",IF(AND(CO27&lt;0,CO29&lt;0,CN31=CM30),"over +",IF(AND(CO27&gt;0,CO29&gt;0,CM30=CN31),"under","not visible")))</f>
        <v/>
      </c>
      <c r="DA31" s="201" t="n">
        <v>4</v>
      </c>
      <c r="DB31" s="202" t="inlineStr">
        <is>
          <t>:</t>
        </is>
      </c>
      <c r="DC31" s="203" t="n">
        <v>5</v>
      </c>
      <c r="DD31" s="192">
        <f>POISSON(DA31,$C$9,FALSE)*POISSON(DC31,$D$9,FALSE)*100</f>
        <v/>
      </c>
      <c r="DE31" s="204">
        <f>RANK(DD31,$DD$5:$DD$36,0)</f>
        <v/>
      </c>
      <c r="DL31" s="0">
        <f>IF(AND(DN27&lt;0,DN29&lt;0,DM32&lt;1.2),"under",IF(DM32&lt;0.35,"u2.5",IF(DM32&lt;0.66,"u 3.5","not visible")))</f>
        <v/>
      </c>
      <c r="DM31" s="0">
        <f>MAX(DL30,DM30)</f>
        <v/>
      </c>
      <c r="DN31" s="0">
        <f>IF(AND(DN27&lt;0,DN29&gt;0,DM31=DM30),"over",IF(AND(DN27&lt;0,DN29&lt;0,DM31=DL30),"over +",IF(AND(DN27&gt;0,DN29&gt;0,DL30=DM31),"under","not visible")))</f>
        <v/>
      </c>
    </row>
    <row r="32" ht="15.75" customHeight="1" s="276">
      <c r="C32" s="0">
        <f>ABS(C29-C30)</f>
        <v/>
      </c>
      <c r="D32" s="0">
        <f>IF(AND(C32&lt;12,C32&gt;11),"point","")</f>
        <v/>
      </c>
      <c r="E32" s="201" t="n">
        <v>5</v>
      </c>
      <c r="F32" s="202" t="inlineStr">
        <is>
          <t>:</t>
        </is>
      </c>
      <c r="G32" s="203" t="n">
        <v>4</v>
      </c>
      <c r="H32" s="192">
        <f>POISSON(E32,$C$5,FALSE)*POISSON(G32,$D$5,FALSE)*100</f>
        <v/>
      </c>
      <c r="I32" s="204">
        <f>RANK(H32,$H$5:$H$36,0)</f>
        <v/>
      </c>
      <c r="L32" s="0">
        <f>Q11</f>
        <v/>
      </c>
      <c r="M32" s="0">
        <f>S9</f>
        <v/>
      </c>
      <c r="O32" s="0">
        <f>IF(AND(P27&lt;0,R27&lt;0),"12",IF(AND(P27&lt;0,P30&gt;0,R27&lt;0),"home",IF(AND(P27&lt;0,P30&gt;0,R27&gt;0,Q37+12&gt;R37),"home",IF(AND(P30&lt;0,Q27&lt;0,R27&lt;0),"away",IF(AND(P30&lt;0,P27&lt;0,R27&lt;0),"support home",IF(AND(Q27&lt;0,R27&gt;0,Q37&lt;R37-3),"12",IF(AND(Q27&lt;0,R27&gt;0,R37&lt;Q37),"home double","wait")))))))</f>
        <v/>
      </c>
      <c r="P32" s="0">
        <f>IF(AND(R28&lt;0.7,Q33&gt;0,Q33&lt;0.5,S28&lt;1,S28&gt;0.15),"u2.5","o 1.5")</f>
        <v/>
      </c>
      <c r="Q32" s="0">
        <f>IF(P30&lt;0,-P30,P30)</f>
        <v/>
      </c>
      <c r="R32" s="0">
        <f>IF(AND(P32="o 1.5",OR(R31="over",R31="over +")),"o1.5","Under")</f>
        <v/>
      </c>
      <c r="S32" s="0">
        <f>S27/S30</f>
        <v/>
      </c>
      <c r="AB32" s="0">
        <f>ABS(AB29-AB30)</f>
        <v/>
      </c>
      <c r="AC32" s="0">
        <f>IF(AND(AB32&lt;12,AB32&gt;11),"point","")</f>
        <v/>
      </c>
      <c r="AD32" s="201" t="n">
        <v>5</v>
      </c>
      <c r="AE32" s="202">
        <f>AD32+AF32</f>
        <v/>
      </c>
      <c r="AF32" s="203" t="n">
        <v>4</v>
      </c>
      <c r="AG32" s="192">
        <f>POISSON(AD32,$C$6,FALSE)*POISSON(AF32,$D$6,FALSE)*100</f>
        <v/>
      </c>
      <c r="AH32" s="204">
        <f>RANK(AG32,$AG$5:$AG$36,0)</f>
        <v/>
      </c>
      <c r="AK32" s="0">
        <f>AP11</f>
        <v/>
      </c>
      <c r="AL32" s="0">
        <f>AR9</f>
        <v/>
      </c>
      <c r="AN32" s="0">
        <f>IF(AND(AO27&lt;0,AQ27&lt;0),"12",IF(AND(AO27&lt;0,AO30&gt;0,AQ27&lt;0),"home",IF(AND(AO27&lt;0,AO30&gt;0,AQ27&gt;0,AP37+12&gt;AQ37),"home",IF(AND(AO30&lt;0,AP27&lt;0,AQ27&lt;0),"away",IF(AND(AO30&lt;0,AO27&lt;0,AQ27&lt;0),"support home",IF(AND(AP27&lt;0,AQ27&gt;0,AP37&lt;AQ37-3),"12",IF(AND(AP27&lt;0,AQ27&gt;0,AQ37&lt;AP37),"home double","wait")))))))</f>
        <v/>
      </c>
      <c r="AO32" s="0">
        <f>IF(AND(AQ28&lt;0.7,AP33&gt;0,AP33&lt;0.5,AR28&lt;1,AR28&gt;0.15),"u2.5","o 1.5")</f>
        <v/>
      </c>
      <c r="AP32" s="0">
        <f>IF(AO30&lt;0,-AO30,AO30)</f>
        <v/>
      </c>
      <c r="AQ32" s="0">
        <f>IF(AND(AO32="o 1.5",OR(AQ31="over",AQ31="over +")),"o1.5","Under")</f>
        <v/>
      </c>
      <c r="AR32" s="0">
        <f>AR27/AR30</f>
        <v/>
      </c>
      <c r="BA32" s="0">
        <f>ABS(BA29-BA30)</f>
        <v/>
      </c>
      <c r="BB32" s="0">
        <f>IF(AND(BA32&lt;12,BA32&gt;11),"point","")</f>
        <v/>
      </c>
      <c r="BC32" s="201" t="n">
        <v>5</v>
      </c>
      <c r="BD32" s="202" t="inlineStr">
        <is>
          <t>:</t>
        </is>
      </c>
      <c r="BE32" s="203" t="n">
        <v>4</v>
      </c>
      <c r="BF32" s="192">
        <f>POISSON(BC32,$C$7,FALSE)*POISSON(BE32,$D$7,FALSE)*100</f>
        <v/>
      </c>
      <c r="BG32" s="204">
        <f>RANK(BF32,$BF$5:$BF$36,0)</f>
        <v/>
      </c>
      <c r="BJ32" s="0">
        <f>BO11</f>
        <v/>
      </c>
      <c r="BK32" s="0">
        <f>BQ9</f>
        <v/>
      </c>
      <c r="BM32" s="0">
        <f>IF(AND(BN27&lt;0,BP27&lt;0),"12",IF(AND(BN27&lt;0,BN30&gt;0,BP27&lt;0),"home",IF(AND(BN27&lt;0,BN30&gt;0,BP27&gt;0,BO37+12&gt;BP37),"home",IF(AND(BN30&lt;0,BO27&lt;0,BP27&lt;0),"away",IF(AND(BN30&lt;0,BN27&lt;0,BP27&lt;0),"support home",IF(AND(BO27&lt;0,BP27&gt;0,BO37&lt;BP37-3),"12",IF(AND(BO27&lt;0,BP27&gt;0,BP37&lt;BO37),"home double","wait")))))))</f>
        <v/>
      </c>
      <c r="BN32" s="0">
        <f>IF(AND(BP28&lt;0.7,BO33&gt;0,BO33&lt;0.5,BQ28&lt;1,BQ28&gt;0.15),"u2.5","o 1.5")</f>
        <v/>
      </c>
      <c r="BO32" s="0">
        <f>IF(BN30&lt;0,-BN30,BN30)</f>
        <v/>
      </c>
      <c r="BP32" s="0">
        <f>IF(AND(BN32="o 1.5",OR(BP31="over",BP31="over +")),"o1.5","Under")</f>
        <v/>
      </c>
      <c r="BQ32" s="0">
        <f>BQ27/BQ30</f>
        <v/>
      </c>
      <c r="BZ32" s="0">
        <f>ABS(BZ29-BZ30)</f>
        <v/>
      </c>
      <c r="CA32" s="0">
        <f>IF(AND(BZ32&lt;12,BZ32&gt;11),"point","")</f>
        <v/>
      </c>
      <c r="CB32" s="201" t="n">
        <v>5</v>
      </c>
      <c r="CC32" s="202" t="inlineStr">
        <is>
          <t>:</t>
        </is>
      </c>
      <c r="CD32" s="203" t="n">
        <v>4</v>
      </c>
      <c r="CE32" s="192">
        <f>POISSON(CB32,$C$8,FALSE)*POISSON(CD32,$D$8,FALSE)*100</f>
        <v/>
      </c>
      <c r="CF32" s="204">
        <f>RANK(CE32,$CE$5:$CE$36,0)</f>
        <v/>
      </c>
      <c r="CL32" s="0">
        <f>IF(AND(CM27&lt;0,CO27&lt;0),"12",IF(AND(CM27&lt;0,CM30&gt;0,CO27&lt;0),"home",IF(AND(CM27&lt;0,CM30&gt;0,CO27&gt;0,CN37+12&gt;CO37),"home",IF(AND(CM30&lt;0,CN27&lt;0,CO27&lt;0),"away",IF(AND(CM30&lt;0,CM27&lt;0,CO27&lt;0),"support home",IF(AND(CN27&lt;0,CO27&gt;0,CN37&lt;CO37-3),"12",IF(AND(CN27&lt;0,CO27&gt;0,CO37&lt;CN37),"home double","wait")))))))</f>
        <v/>
      </c>
      <c r="CM32" s="0">
        <f>IF(AND(CO28&lt;0.7,CN33&gt;0,CN33&lt;0.5,CP28&lt;1,CP28&gt;0.15),"u2.5","o 1.5")</f>
        <v/>
      </c>
      <c r="CN32" s="0">
        <f>IF(CM30&lt;0,-CM30,CM30)</f>
        <v/>
      </c>
      <c r="CO32" s="0">
        <f>IF(AND(CM32="o 1.5",OR(CO31="over",CO31="over +")),"o1.5","Under")</f>
        <v/>
      </c>
      <c r="CP32" s="0">
        <f>CP27/CP30</f>
        <v/>
      </c>
      <c r="CY32" s="0">
        <f>ABS(CY29-CY30)</f>
        <v/>
      </c>
      <c r="CZ32" s="0">
        <f>IF(AND(CY32&lt;12,CY32&gt;11),"point","")</f>
        <v/>
      </c>
      <c r="DA32" s="201" t="n">
        <v>5</v>
      </c>
      <c r="DB32" s="202" t="inlineStr">
        <is>
          <t>:</t>
        </is>
      </c>
      <c r="DC32" s="203" t="n">
        <v>4</v>
      </c>
      <c r="DD32" s="192">
        <f>POISSON(DA32,$C$9,FALSE)*POISSON(DC32,$D$9,FALSE)*100</f>
        <v/>
      </c>
      <c r="DE32" s="204">
        <f>RANK(DD32,$DD$5:$DD$36,0)</f>
        <v/>
      </c>
      <c r="DK32" s="0">
        <f>IF(AND(DL27&lt;0,DN27&lt;0),"12",IF(AND(DL27&lt;0,DL30&gt;0,DN27&lt;0),"home",IF(AND(DL27&lt;0,DL30&gt;0,DN27&gt;0,DM37+12&gt;DN37),"home",IF(AND(DL30&lt;0,DM27&lt;0,DN27&lt;0),"away",IF(AND(DL30&lt;0,DL27&lt;0,DN27&lt;0),"support home",IF(AND(DM27&lt;0,DN27&gt;0,DM37&lt;DN37-3),"12",IF(AND(DM27&lt;0,DN27&gt;0,DN37&lt;DM37),"home double","wait")))))))</f>
        <v/>
      </c>
      <c r="DL32" s="0">
        <f>IF(AND(DN28&lt;0.7,DM33&gt;0,DM33&lt;0.5,DO28&lt;1,DO28&gt;0.15),"u2.5","o 1.5")</f>
        <v/>
      </c>
      <c r="DM32" s="0">
        <f>IF(DL30&lt;0,-DL30,DL30)</f>
        <v/>
      </c>
      <c r="DN32" s="0">
        <f>IF(AND(DL32="o 1.5",OR(DN31="over",DN31="over +")),"o1.5","Under")</f>
        <v/>
      </c>
      <c r="DO32" s="0">
        <f>DO27/DO30</f>
        <v/>
      </c>
    </row>
    <row r="33" ht="15.75" customHeight="1" s="276">
      <c r="C33" s="0">
        <f>_xlfn.TEXTJOIN(", ", ,D33,D55)</f>
        <v/>
      </c>
      <c r="D33" s="0">
        <f>IF(OR(C19&gt;D34,C19=D34),"yes","no")</f>
        <v/>
      </c>
      <c r="E33" s="201" t="n">
        <v>5</v>
      </c>
      <c r="F33" s="202" t="inlineStr">
        <is>
          <t>:</t>
        </is>
      </c>
      <c r="G33" s="203" t="n">
        <v>5</v>
      </c>
      <c r="H33" s="192">
        <f>POISSON(E33,$C$5,FALSE)*POISSON(G33,$D$5,FALSE)*100</f>
        <v/>
      </c>
      <c r="I33" s="204">
        <f>RANK(H33,$H$5:$H$36,0)</f>
        <v/>
      </c>
      <c r="L33" s="226">
        <f>R11</f>
        <v/>
      </c>
      <c r="M33" s="226">
        <f>S10</f>
        <v/>
      </c>
      <c r="O33" s="0">
        <f>IF(AND(O28="away",Q37=7,R27&lt;0),"x2",IF(AND(O28="home",R27&gt;0,Q37=7),"home 2 handicap",IF(AND(O28="home",R27&lt;0,Q37&gt;7),"2handicap for home",IF(AND(O28="away",R27&gt;0,Q37&gt;7),"2handicap home",IF(AND(O28="home",OR(R27&lt;0,R27&gt;0),Q37=7),"2handicap home",O28)))))</f>
        <v/>
      </c>
      <c r="P33" s="0">
        <f>IF(AND(O30="ignore",P32="u2.5",P31="u2.5"),"u 3.5",IF(AND(P31="u2.5",P32="u2.5",O30="win"),"u3.5",IF(AND(P31="u2.5",P32="u2.5"),"u2.5",IF(AND(P31="u 3.5",P32="u2.5"),"o1.5",IF(AND(P32="o 1.5",P31="u2.5"),"u3.5",IF(AND(P32="o 1.5",P31="u 3.5"),"u3.5","not available"))))))</f>
        <v/>
      </c>
      <c r="Q33" s="0">
        <f>R28-Q32</f>
        <v/>
      </c>
      <c r="R33" s="0">
        <f>Q35+R35</f>
        <v/>
      </c>
      <c r="S33" s="0">
        <f>IF(AND(O24="both tabs",S32&gt;0.4),O28,IF(AND(O24="both tabs",S32&lt;0.4),"2 handicap",IF(AND(O24="one tab",S32&gt;0.02),O28,S36)))</f>
        <v/>
      </c>
      <c r="AD33" s="201" t="n">
        <v>5</v>
      </c>
      <c r="AE33" s="202">
        <f>AD33+AF33</f>
        <v/>
      </c>
      <c r="AF33" s="203" t="n">
        <v>5</v>
      </c>
      <c r="AG33" s="192">
        <f>POISSON(AD33,$C$6,FALSE)*POISSON(AF33,$D$6,FALSE)*100</f>
        <v/>
      </c>
      <c r="AH33" s="204">
        <f>RANK(AG33,$AG$5:$AG$36,0)</f>
        <v/>
      </c>
      <c r="AK33" s="226">
        <f>AQ11</f>
        <v/>
      </c>
      <c r="AL33" s="226">
        <f>AR10</f>
        <v/>
      </c>
      <c r="AN33" s="0">
        <f>IF(AND(AN28="away",AP37=7,AQ27&lt;0),"x2",IF(AND(AN28="home",AQ27&gt;0,AP37=7),"home 2 handicap",IF(AND(AN28="home",AQ27&lt;0,AP37&gt;7),"2handicap for home",IF(AND(AN28="away",AQ27&gt;0,AP37&gt;7),"2handicap home",IF(AND(AN28="home",OR(AQ27&lt;0,AQ27&gt;0),AP37=7),"2handicap home",AN28)))))</f>
        <v/>
      </c>
      <c r="AO33" s="0">
        <f>IF(AND(AN30="ignore",AO32="u2.5",AO31="u2.5"),"u 3.5",IF(AND(AO31="u2.5",AO32="u2.5",AN30="win"),"u3.5",IF(AND(AO31="u2.5",AO32="u2.5"),"u2.5",IF(AND(AO31="u 3.5",AO32="u2.5"),"o1.5",IF(AND(AO32="o 1.5",AO31="u2.5"),"u3.5",IF(AND(AO32="o 1.5",AO31="u 3.5"),"u3.5","not available"))))))</f>
        <v/>
      </c>
      <c r="AP33" s="0">
        <f>AQ28-AP32</f>
        <v/>
      </c>
      <c r="AQ33" s="0">
        <f>AP35+AQ35</f>
        <v/>
      </c>
      <c r="AR33" s="0">
        <f>IF(AND(AN24="both tabs",AR32&gt;0.4),AN28,IF(AND(AN24="both tabs",AR32&lt;0.4),"2 handicap",IF(AND(AN24="one tab",AR32&gt;0.02),AN28,AR36)))</f>
        <v/>
      </c>
      <c r="BC33" s="201" t="n">
        <v>5</v>
      </c>
      <c r="BD33" s="202" t="inlineStr">
        <is>
          <t>:</t>
        </is>
      </c>
      <c r="BE33" s="203" t="n">
        <v>5</v>
      </c>
      <c r="BF33" s="192">
        <f>POISSON(BC33,$C$7,FALSE)*POISSON(BE33,$D$7,FALSE)*100</f>
        <v/>
      </c>
      <c r="BG33" s="204">
        <f>RANK(BF33,$BF$5:$BF$36,0)</f>
        <v/>
      </c>
      <c r="BJ33" s="226">
        <f>BP11</f>
        <v/>
      </c>
      <c r="BK33" s="226">
        <f>BQ10</f>
        <v/>
      </c>
      <c r="BM33" s="0">
        <f>IF(AND(BM28="away",BO37=7,BP27&lt;0),"x2",IF(AND(BM28="home",BP27&gt;0,BO37=7),"home 2 handicap",IF(AND(BM28="home",BP27&lt;0,BO37&gt;7),"2handicap for home",IF(AND(BM28="away",BP27&gt;0,BO37&gt;7),"2handicap home",IF(AND(BM28="home",OR(BP27&lt;0,BP27&gt;0),BO37=7),"2handicap home",BM28)))))</f>
        <v/>
      </c>
      <c r="BN33" s="0">
        <f>IF(AND(BM30="ignore",BN32="u2.5",BN31="u2.5"),"u 3.5",IF(AND(BN31="u2.5",BN32="u2.5",BM30="win"),"u3.5",IF(AND(BN31="u2.5",BN32="u2.5"),"u2.5",IF(AND(BN31="u 3.5",BN32="u2.5"),"o1.5",IF(AND(BN32="o 1.5",BN31="u2.5"),"u3.5",IF(AND(BN32="o 1.5",BN31="u 3.5"),"u3.5","not available"))))))</f>
        <v/>
      </c>
      <c r="BO33" s="0">
        <f>BP28-BO32</f>
        <v/>
      </c>
      <c r="BP33" s="0">
        <f>BO35+BP35</f>
        <v/>
      </c>
      <c r="BQ33" s="0">
        <f>IF(AND(BM24="both tabs",BQ32&gt;0.4),BM28,IF(AND(BM24="both tabs",BQ32&lt;0.4),"2 handicap",IF(AND(BM24="one tab",BQ32&gt;0.02),BM28,BQ36)))</f>
        <v/>
      </c>
      <c r="CB33" s="201" t="n">
        <v>5</v>
      </c>
      <c r="CC33" s="202" t="inlineStr">
        <is>
          <t>:</t>
        </is>
      </c>
      <c r="CD33" s="203" t="n">
        <v>5</v>
      </c>
      <c r="CE33" s="192">
        <f>POISSON(CB33,$C$8,FALSE)*POISSON(CD33,$D$8,FALSE)*100</f>
        <v/>
      </c>
      <c r="CF33" s="204">
        <f>RANK(CE33,$CE$5:$CE$36,0)</f>
        <v/>
      </c>
      <c r="CL33" s="0">
        <f>IF(AND(CL28="away",CN37=7,CO27&lt;0),"x2",IF(AND(CL28="home",CO27&gt;0,CN37=7),"home 2 handicap",IF(AND(CL28="home",CO27&lt;0,CN37&gt;7),"2handicap for home",IF(AND(CL28="away",CO27&gt;0,CN37&gt;7),"2handicap home",IF(AND(CL28="home",OR(CO27&lt;0,CO27&gt;0),CN37=7),"2handicap home",CL28)))))</f>
        <v/>
      </c>
      <c r="CM33" s="0">
        <f>IF(AND(CL30="ignore",CM32="u2.5",CM31="u2.5"),"u 3.5",IF(AND(CM31="u2.5",CM32="u2.5",CL30="win"),"u3.5",IF(AND(CM31="u2.5",CM32="u2.5"),"u2.5",IF(AND(CM31="u 3.5",CM32="u2.5"),"o1.5",IF(AND(CM32="o 1.5",CM31="u2.5"),"u3.5",IF(AND(CM32="o 1.5",CM31="u 3.5"),"u3.5","not available"))))))</f>
        <v/>
      </c>
      <c r="CN33" s="0">
        <f>CO28-CN32</f>
        <v/>
      </c>
      <c r="CO33" s="0">
        <f>CN35+CO35</f>
        <v/>
      </c>
      <c r="CP33" s="0">
        <f>IF(AND(CL24="both tabs",CP32&gt;0.4),CL28,IF(AND(CL24="both tabs",CP32&lt;0.4),"2 handicap",IF(AND(CL24="one tab",CP32&gt;0.02),CL28,CP36)))</f>
        <v/>
      </c>
      <c r="DA33" s="201" t="n">
        <v>5</v>
      </c>
      <c r="DB33" s="202" t="inlineStr">
        <is>
          <t>:</t>
        </is>
      </c>
      <c r="DC33" s="203" t="n">
        <v>5</v>
      </c>
      <c r="DD33" s="192">
        <f>POISSON(DA33,$C$9,FALSE)*POISSON(DC33,$D$9,FALSE)*100</f>
        <v/>
      </c>
      <c r="DE33" s="204">
        <f>RANK(DD33,$DD$5:$DD$36,0)</f>
        <v/>
      </c>
      <c r="DK33" s="0">
        <f>IF(AND(DK28="away",DM37=7,DN27&lt;0),"x2",IF(AND(DK28="home",DN27&gt;0,DM37=7),"home 2 handicap",IF(AND(DK28="home",DN27&lt;0,DM37&gt;7),"2handicap for home",IF(AND(DK28="away",DN27&gt;0,DM37&gt;7),"2handicap home",IF(AND(DK28="home",OR(DN27&lt;0,DN27&gt;0),DM37=7),"2handicap home",DK28)))))</f>
        <v/>
      </c>
      <c r="DL33" s="0">
        <f>IF(AND(DK30="ignore",DL32="u2.5",DL31="u2.5"),"u 3.5",IF(AND(DL31="u2.5",DL32="u2.5",DK30="win"),"u3.5",IF(AND(DL31="u2.5",DL32="u2.5"),"u2.5",IF(AND(DL31="u 3.5",DL32="u2.5"),"o1.5",IF(AND(DL32="o 1.5",DL31="u2.5"),"u3.5",IF(AND(DL32="o 1.5",DL31="u 3.5"),"u3.5","not available"))))))</f>
        <v/>
      </c>
      <c r="DM33" s="0">
        <f>DN28-DM32</f>
        <v/>
      </c>
      <c r="DN33" s="0">
        <f>DM35+DN35</f>
        <v/>
      </c>
      <c r="DO33" s="0">
        <f>IF(AND(DK24="both tabs",DO32&gt;0.4),DK28,IF(AND(DK24="both tabs",DO32&lt;0.4),"2 handicap",IF(AND(DK24="one tab",DO32&gt;0.02),DK28,DO36)))</f>
        <v/>
      </c>
    </row>
    <row r="34" ht="15.75" customHeight="1" s="276">
      <c r="C34" s="0">
        <f>IF(C33="no, no",1,IF(C33="no, yes",2,3))</f>
        <v/>
      </c>
      <c r="D34" s="0">
        <f>MAX(C20:C22)</f>
        <v/>
      </c>
      <c r="E34" s="201" t="n">
        <v>0</v>
      </c>
      <c r="F34" s="202" t="inlineStr">
        <is>
          <t>:</t>
        </is>
      </c>
      <c r="G34" s="203" t="n">
        <v>3</v>
      </c>
      <c r="H34" s="192">
        <f>POISSON(E34,$C$5,FALSE)*POISSON(G34,$D$5,FALSE)*100</f>
        <v/>
      </c>
      <c r="I34" s="204">
        <f>RANK(H34,$H$5:$H$36,0)</f>
        <v/>
      </c>
      <c r="L34" s="227">
        <f>MAX(L19:L33)</f>
        <v/>
      </c>
      <c r="M34" s="228">
        <f>MAX(M19:M33)</f>
        <v/>
      </c>
      <c r="O34" s="0">
        <f>IF(AND(O33="2handicap home",S38="okay home"),"yes", )</f>
        <v/>
      </c>
      <c r="P34" s="0">
        <f>IF(AND(P31="u 3.5",P33="u3.5"),"not available",IF(AND(O30="ignore",P31="u2.5",P33="u 3.5"),"u4.5",IF(AND(P31="u2.5",P33="u3.5"),"u4.5",P31)))</f>
        <v/>
      </c>
      <c r="Q34" s="0">
        <f>(P29/O27)*100</f>
        <v/>
      </c>
      <c r="R34" s="0">
        <f>(ABS(P30)/ABS(O27)*100)</f>
        <v/>
      </c>
      <c r="AD34" s="201" t="n">
        <v>0</v>
      </c>
      <c r="AE34" s="202">
        <f>AD34+AF34</f>
        <v/>
      </c>
      <c r="AF34" s="203" t="n">
        <v>3</v>
      </c>
      <c r="AG34" s="192">
        <f>POISSON(AD34,$C$6,FALSE)*POISSON(AF34,$D$6,FALSE)*100</f>
        <v/>
      </c>
      <c r="AH34" s="204">
        <f>RANK(AG34,$AG$5:$AG$36,0)</f>
        <v/>
      </c>
      <c r="AK34" s="227">
        <f>MAX(AK19:AK33)</f>
        <v/>
      </c>
      <c r="AL34" s="228">
        <f>MAX(AL19:AL33)</f>
        <v/>
      </c>
      <c r="AN34" s="0">
        <f>IF(AND(AN33="2handicap home",AR38="okay home"),"yes", )</f>
        <v/>
      </c>
      <c r="AO34" s="0">
        <f>IF(AND(AO31="u 3.5",AO33="u3.5"),"not available",IF(AND(AN30="ignore",AO31="u2.5",AO33="u 3.5"),"u4.5",IF(AND(AO31="u2.5",AO33="u3.5"),"u4.5",AO31)))</f>
        <v/>
      </c>
      <c r="AP34" s="0">
        <f>(AO29/AN27)*100</f>
        <v/>
      </c>
      <c r="AQ34" s="0">
        <f>(ABS(AO30)/ABS(AN27)*100)</f>
        <v/>
      </c>
      <c r="BC34" s="201" t="n">
        <v>0</v>
      </c>
      <c r="BD34" s="202" t="inlineStr">
        <is>
          <t>:</t>
        </is>
      </c>
      <c r="BE34" s="203" t="n">
        <v>3</v>
      </c>
      <c r="BF34" s="192">
        <f>POISSON(BC34,$C$7,FALSE)*POISSON(BE34,$D$7,FALSE)*100</f>
        <v/>
      </c>
      <c r="BG34" s="204">
        <f>RANK(BF34,$BF$5:$BF$36,0)</f>
        <v/>
      </c>
      <c r="BJ34" s="0">
        <f>AVERAGE(BJ19:BJ33)</f>
        <v/>
      </c>
      <c r="BK34" s="0">
        <f>AVERAGE(BK19:BK33)</f>
        <v/>
      </c>
      <c r="BM34" s="0">
        <f>IF(AND(BM33="2handicap home",BQ38="okay home"),"yes", )</f>
        <v/>
      </c>
      <c r="BN34" s="0">
        <f>IF(AND(BN31="u 3.5",BN33="u3.5"),"not available",IF(AND(BM30="ignore",BN31="u2.5",BN33="u 3.5"),"u4.5",IF(AND(BN31="u2.5",BN33="u3.5"),"u4.5",BN31)))</f>
        <v/>
      </c>
      <c r="BO34" s="0">
        <f>(BN29/BM27)*100</f>
        <v/>
      </c>
      <c r="BP34" s="0">
        <f>(ABS(BN30)/ABS(BM27)*100)</f>
        <v/>
      </c>
      <c r="CB34" s="201" t="n">
        <v>0</v>
      </c>
      <c r="CC34" s="202" t="inlineStr">
        <is>
          <t>:</t>
        </is>
      </c>
      <c r="CD34" s="203" t="n">
        <v>3</v>
      </c>
      <c r="CE34" s="192">
        <f>POISSON(CB34,$C$8,FALSE)*POISSON(CD34,$D$8,FALSE)*100</f>
        <v/>
      </c>
      <c r="CF34" s="204">
        <f>RANK(CE34,$CE$5:$CE$36,0)</f>
        <v/>
      </c>
      <c r="CL34" s="0">
        <f>IF(AND(CL33="2handicap home",CP38="okay home"),"yes", )</f>
        <v/>
      </c>
      <c r="CM34" s="0">
        <f>IF(AND(CM31="u 3.5",CM33="u3.5"),"not available",IF(AND(CL30="ignore",CM31="u2.5",CM33="u 3.5"),"u4.5",IF(AND(CM31="u2.5",CM33="u3.5"),"u4.5",CM31)))</f>
        <v/>
      </c>
      <c r="CN34" s="0">
        <f>(CM29/CL27)*100</f>
        <v/>
      </c>
      <c r="CO34" s="0">
        <f>(ABS(CM30)/ABS(CL27)*100)</f>
        <v/>
      </c>
      <c r="DA34" s="201" t="n">
        <v>0</v>
      </c>
      <c r="DB34" s="202" t="inlineStr">
        <is>
          <t>:</t>
        </is>
      </c>
      <c r="DC34" s="203" t="n">
        <v>3</v>
      </c>
      <c r="DD34" s="192">
        <f>POISSON(DA34,$C$9,FALSE)*POISSON(DC34,$D$9,FALSE)*100</f>
        <v/>
      </c>
      <c r="DE34" s="204">
        <f>RANK(DD34,$DD$5:$DD$36,0)</f>
        <v/>
      </c>
      <c r="DK34" s="0">
        <f>IF(AND(DK33="2handicap home",DO38="okay home"),"yes", )</f>
        <v/>
      </c>
      <c r="DL34" s="0">
        <f>IF(AND(DL31="u 3.5",DL33="u3.5"),"not available",IF(AND(DK30="ignore",DL31="u2.5",DL33="u 3.5"),"u4.5",IF(AND(DL31="u2.5",DL33="u3.5"),"u4.5",DL31)))</f>
        <v/>
      </c>
      <c r="DM34" s="0">
        <f>(DL29/DK27)*100</f>
        <v/>
      </c>
      <c r="DN34" s="0">
        <f>(ABS(DL30)/ABS(DK27)*100)</f>
        <v/>
      </c>
    </row>
    <row r="35" ht="15.75" customHeight="1" s="276">
      <c r="E35" s="201" t="n">
        <v>3</v>
      </c>
      <c r="F35" s="202" t="inlineStr">
        <is>
          <t>:</t>
        </is>
      </c>
      <c r="G35" s="203" t="n">
        <v>2</v>
      </c>
      <c r="H35" s="192">
        <f>POISSON(E35,$C$5,FALSE)*POISSON(G35,$D$5,FALSE)*100</f>
        <v/>
      </c>
      <c r="I35" s="204">
        <f>RANK(H35,$H$5:$H$36,0)</f>
        <v/>
      </c>
      <c r="K35" s="0">
        <f>AVERAGE(L35,M35)</f>
        <v/>
      </c>
      <c r="L35" s="229">
        <f>SUM(L19:L33)</f>
        <v/>
      </c>
      <c r="M35" s="229">
        <f>SUM(M19:M33)</f>
        <v/>
      </c>
      <c r="P35" s="0">
        <f>Sheet3!$H$3</f>
        <v/>
      </c>
      <c r="Q35" s="0">
        <f>IF(P30&lt;0,(R34/SUM(Q34,R34))*100,(Q34/SUM(Q34,R34))*100)</f>
        <v/>
      </c>
      <c r="R35" s="0">
        <f>ABS(R27)/(ABS(R28)+ABS(R27))*100</f>
        <v/>
      </c>
      <c r="AD35" s="201" t="n">
        <v>3</v>
      </c>
      <c r="AE35" s="202">
        <f>AD35+AF35</f>
        <v/>
      </c>
      <c r="AF35" s="203" t="n">
        <v>2</v>
      </c>
      <c r="AG35" s="192">
        <f>POISSON(AD35,$C$6,FALSE)*POISSON(AF35,$D$6,FALSE)*100</f>
        <v/>
      </c>
      <c r="AH35" s="204">
        <f>RANK(AG35,$AG$5:$AG$36,0)</f>
        <v/>
      </c>
      <c r="AJ35" s="0">
        <f>AVERAGE(AK35,AL35)</f>
        <v/>
      </c>
      <c r="AK35" s="229">
        <f>SUM(AK19:AK33)</f>
        <v/>
      </c>
      <c r="AL35" s="229">
        <f>SUM(AL19:AL33)</f>
        <v/>
      </c>
      <c r="AO35" s="0">
        <f>Sheet3!$H$3</f>
        <v/>
      </c>
      <c r="AP35" s="0">
        <f>IF(AO30&lt;0,(AQ34/SUM(AP34,AQ34))*100,(AP34/SUM(AP34,AQ34))*100)</f>
        <v/>
      </c>
      <c r="AQ35" s="0">
        <f>ABS(AQ27)/(ABS(AQ28)+ABS(AQ27))*100</f>
        <v/>
      </c>
      <c r="BC35" s="201" t="n">
        <v>3</v>
      </c>
      <c r="BD35" s="202" t="inlineStr">
        <is>
          <t>:</t>
        </is>
      </c>
      <c r="BE35" s="203" t="n">
        <v>2</v>
      </c>
      <c r="BF35" s="192">
        <f>POISSON(BC35,$C$7,FALSE)*POISSON(BE35,$D$7,FALSE)*100</f>
        <v/>
      </c>
      <c r="BG35" s="204">
        <f>RANK(BF35,$BF$5:$BF$36,0)</f>
        <v/>
      </c>
      <c r="BN35" s="0">
        <f>Sheet3!$H$3</f>
        <v/>
      </c>
      <c r="BO35" s="0">
        <f>IF(BN30&lt;0,(BP34/SUM(BO34,BP34))*100,(BO34/SUM(BO34,BP34))*100)</f>
        <v/>
      </c>
      <c r="BP35" s="0">
        <f>ABS(BP27)/(ABS(BP28)+ABS(BP27))*100</f>
        <v/>
      </c>
      <c r="CB35" s="201" t="n">
        <v>3</v>
      </c>
      <c r="CC35" s="202" t="inlineStr">
        <is>
          <t>:</t>
        </is>
      </c>
      <c r="CD35" s="203" t="n">
        <v>2</v>
      </c>
      <c r="CE35" s="192">
        <f>POISSON(CB35,$C$8,FALSE)*POISSON(CD35,$D$8,FALSE)*100</f>
        <v/>
      </c>
      <c r="CF35" s="204">
        <f>RANK(CE35,$CE$5:$CE$36,0)</f>
        <v/>
      </c>
      <c r="CM35" s="0">
        <f>Sheet3!$H$3</f>
        <v/>
      </c>
      <c r="CN35" s="0">
        <f>IF(CM30&lt;0,(CO34/SUM(CN34,CO34))*100,(CN34/SUM(CN34,CO34))*100)</f>
        <v/>
      </c>
      <c r="CO35" s="0">
        <f>ABS(CO27)/(ABS(CO28)+ABS(CO27))*100</f>
        <v/>
      </c>
      <c r="DA35" s="201" t="n">
        <v>3</v>
      </c>
      <c r="DB35" s="202" t="inlineStr">
        <is>
          <t>:</t>
        </is>
      </c>
      <c r="DC35" s="203" t="n">
        <v>2</v>
      </c>
      <c r="DD35" s="192">
        <f>POISSON(DA35,$C$9,FALSE)*POISSON(DC35,$D$9,FALSE)*100</f>
        <v/>
      </c>
      <c r="DE35" s="204">
        <f>RANK(DD35,$DD$5:$DD$36,0)</f>
        <v/>
      </c>
      <c r="DL35" s="0">
        <f>Sheet3!$H$3</f>
        <v/>
      </c>
      <c r="DM35" s="0">
        <f>IF(DL30&lt;0,(DN34/SUM(DM34,DN34))*100,(DM34/SUM(DM34,DN34))*100)</f>
        <v/>
      </c>
      <c r="DN35" s="0">
        <f>ABS(DN27)/(ABS(DN28)+ABS(DN27))*100</f>
        <v/>
      </c>
    </row>
    <row r="36" ht="15.75" customHeight="1" s="276">
      <c r="E36" s="201" t="n">
        <v>0</v>
      </c>
      <c r="F36" s="202" t="inlineStr">
        <is>
          <t>:</t>
        </is>
      </c>
      <c r="G36" s="203" t="n">
        <v>4</v>
      </c>
      <c r="H36" s="192">
        <f>POISSON(E36,$C$5,FALSE)*POISSON(G36,$D$5,FALSE)*100</f>
        <v/>
      </c>
      <c r="I36" s="204">
        <f>RANK(H36,$H$5:$H$36,0)</f>
        <v/>
      </c>
      <c r="L36" s="229">
        <f>MAX(N53:N67)</f>
        <v/>
      </c>
      <c r="M36" s="230">
        <f>MIN(N53:N67)</f>
        <v/>
      </c>
      <c r="P36" s="0" t="inlineStr">
        <is>
          <t>Dist</t>
        </is>
      </c>
      <c r="Q36" s="0">
        <f>Q35-R35</f>
        <v/>
      </c>
      <c r="R36" s="0">
        <f>IF(AND(O24="both tabs",O28="home",P30&gt;0,Q36&lt;88),"play goals",IF(AND(O28="away",P30&gt;0,Q36&lt;-10),"1x",IF(AND(O28="away",P30&lt;1,Q36&lt;45,Q36&gt;3),"2",IF(AND(O28="home",P30&gt;0,Q36&lt;48),"1",IF(AND(O28="home",P30&gt;0,Q36&lt;88,Q36&gt;50),"1x",IF(AND(O28="home",P30&lt;0,Q36&lt;-10),"x2",IF(AND(O24="both tabs",O28="away",P30&lt;0,Q36&lt;88),"play Goals",IF(AND(O28="away",P30&lt;0,Q36&lt;88),"x2","not available"))))))))</f>
        <v/>
      </c>
      <c r="S36" s="0">
        <f>IF(O28="away","home",IF(O28="home","away"))</f>
        <v/>
      </c>
      <c r="AD36" s="201" t="n">
        <v>0</v>
      </c>
      <c r="AE36" s="202">
        <f>AD36+AF36</f>
        <v/>
      </c>
      <c r="AF36" s="203" t="n">
        <v>4</v>
      </c>
      <c r="AG36" s="192">
        <f>POISSON(AD36,$C$6,FALSE)*POISSON(AF36,$D$6,FALSE)*100</f>
        <v/>
      </c>
      <c r="AH36" s="204">
        <f>RANK(AG36,$AG$5:$AG$36,0)</f>
        <v/>
      </c>
      <c r="AK36" s="229">
        <f>MAX(AM53:AM67)</f>
        <v/>
      </c>
      <c r="AL36" s="230">
        <f>MIN(AM53:AM67)</f>
        <v/>
      </c>
      <c r="AO36" s="0" t="inlineStr">
        <is>
          <t>Dist</t>
        </is>
      </c>
      <c r="AP36" s="0">
        <f>AP35-AQ35</f>
        <v/>
      </c>
      <c r="AQ36" s="0">
        <f>IF(AND(AN24="both tabs",AN28="home",AO30&gt;0,AP36&lt;88),"play goals",IF(AND(AN28="away",AO30&gt;0,AP36&lt;-10),"1x",IF(AND(AN28="away",AO30&lt;1,AP36&lt;45,AP36&gt;3),"2",IF(AND(AN28="home",AO30&gt;0,AP36&lt;48),"1",IF(AND(AN28="home",AO30&gt;0,AP36&lt;88,AP36&gt;50),"1x",IF(AND(AN28="home",AO30&lt;0,AP36&lt;-10),"x2",IF(AND(AN24="both tabs",AN28="away",AO30&lt;0,AP36&lt;88),"play Goals",IF(AND(AN28="away",AO30&lt;0,AP36&lt;88),"x2","not available"))))))))</f>
        <v/>
      </c>
      <c r="AR36" s="0">
        <f>IF(AN28="away","home",IF(AN28="home","away"))</f>
        <v/>
      </c>
      <c r="BC36" s="201" t="n">
        <v>0</v>
      </c>
      <c r="BD36" s="202" t="inlineStr">
        <is>
          <t>:</t>
        </is>
      </c>
      <c r="BE36" s="203" t="n">
        <v>4</v>
      </c>
      <c r="BF36" s="192">
        <f>POISSON(BC36,$C$7,FALSE)*POISSON(BE36,$D$7,FALSE)*100</f>
        <v/>
      </c>
      <c r="BG36" s="204">
        <f>RANK(BF36,$BF$5:$BF$36,0)</f>
        <v/>
      </c>
      <c r="BN36" s="0" t="inlineStr">
        <is>
          <t>Dist</t>
        </is>
      </c>
      <c r="BO36" s="0">
        <f>BO35-BP35</f>
        <v/>
      </c>
      <c r="BP36" s="0">
        <f>IF(AND(BM24="both tabs",BM28="home",BN30&gt;0,BO36&lt;88),"play goals",IF(AND(BM28="away",BN30&gt;0,BO36&lt;-10),"1x",IF(AND(BM28="away",BN30&lt;1,BO36&lt;45,BO36&gt;3),"2",IF(AND(BM28="home",BN30&gt;0,BO36&lt;48),"1",IF(AND(BM28="home",BN30&gt;0,BO36&lt;88,BO36&gt;50),"1x",IF(AND(BM28="home",BN30&lt;0,BO36&lt;-10),"x2",IF(AND(BM24="both tabs",BM28="away",BN30&lt;0,BO36&lt;88),"play Goals",IF(AND(BM28="away",BN30&lt;0,BO36&lt;88),"x2","not available"))))))))</f>
        <v/>
      </c>
      <c r="BQ36" s="0">
        <f>IF(BM28="away","home",IF(BM28="home","away"))</f>
        <v/>
      </c>
      <c r="CB36" s="201" t="n">
        <v>0</v>
      </c>
      <c r="CC36" s="202" t="inlineStr">
        <is>
          <t>:</t>
        </is>
      </c>
      <c r="CD36" s="203" t="n">
        <v>4</v>
      </c>
      <c r="CE36" s="192">
        <f>POISSON(CB36,$C$8,FALSE)*POISSON(CD36,$D$8,FALSE)*100</f>
        <v/>
      </c>
      <c r="CF36" s="204">
        <f>RANK(CE36,$CE$5:$CE$36,0)</f>
        <v/>
      </c>
      <c r="CM36" s="0" t="inlineStr">
        <is>
          <t>Dist</t>
        </is>
      </c>
      <c r="CN36" s="0">
        <f>CN35-CO35</f>
        <v/>
      </c>
      <c r="CO36" s="0">
        <f>IF(AND(CL24="both tabs",CL28="home",CM30&gt;0,CN36&lt;88),"play goals",IF(AND(CL28="away",CM30&gt;0,CN36&lt;-10),"1x",IF(AND(CL28="away",CM30&lt;1,CN36&lt;45,CN36&gt;3),"2",IF(AND(CL28="home",CM30&gt;0,CN36&lt;48),"1",IF(AND(CL28="home",CM30&gt;0,CN36&lt;88,CN36&gt;50),"1x",IF(AND(CL28="home",CM30&lt;0,CN36&lt;-10),"x2",IF(AND(CL24="both tabs",CL28="away",CM30&lt;0,CN36&lt;88),"play Goals",IF(AND(CL28="away",CM30&lt;0,CN36&lt;88),"x2","not available"))))))))</f>
        <v/>
      </c>
      <c r="CP36" s="0">
        <f>IF(CL28="away","home",IF(CL28="home","away"))</f>
        <v/>
      </c>
      <c r="DA36" s="201" t="n">
        <v>0</v>
      </c>
      <c r="DB36" s="202" t="inlineStr">
        <is>
          <t>:</t>
        </is>
      </c>
      <c r="DC36" s="203" t="n">
        <v>4</v>
      </c>
      <c r="DD36" s="192">
        <f>POISSON(DA36,$C$9,FALSE)*POISSON(DC36,$D$9,FALSE)*100</f>
        <v/>
      </c>
      <c r="DE36" s="204">
        <f>RANK(DD36,$DD$5:$DD$36,0)</f>
        <v/>
      </c>
      <c r="DL36" s="0" t="inlineStr">
        <is>
          <t>Dist</t>
        </is>
      </c>
      <c r="DM36" s="0">
        <f>DM35-DN35</f>
        <v/>
      </c>
      <c r="DN36" s="0">
        <f>IF(AND(DK24="both tabs",DK28="home",DL30&gt;0,DM36&lt;88),"play goals",IF(AND(DK28="away",DL30&gt;0,DM36&lt;-10),"1x",IF(AND(DK28="away",DL30&lt;1,DM36&lt;45,DM36&gt;3),"2",IF(AND(DK28="home",DL30&gt;0,DM36&lt;48),"1",IF(AND(DK28="home",DL30&gt;0,DM36&lt;88,DM36&gt;50),"1x",IF(AND(DK28="home",DL30&lt;0,DM36&lt;-10),"x2",IF(AND(DK24="both tabs",DK28="away",DL30&lt;0,DM36&lt;88),"play Goals",IF(AND(DK28="away",DL30&lt;0,DM36&lt;88),"x2","not available"))))))))</f>
        <v/>
      </c>
      <c r="DO36" s="0">
        <f>IF(DK28="away","home",IF(DK28="home","away"))</f>
        <v/>
      </c>
    </row>
    <row r="37" ht="15.75" customHeight="1" s="276">
      <c r="E37" s="216" t="n"/>
      <c r="F37" s="217" t="n"/>
      <c r="G37" s="217" t="n"/>
      <c r="H37" s="217" t="n"/>
      <c r="I37" s="219" t="n"/>
      <c r="L37" s="231">
        <f>ABS(L36)-ABS(M36)</f>
        <v/>
      </c>
      <c r="M37" s="232">
        <f>IF(L37&lt;0,M4,L5)</f>
        <v/>
      </c>
      <c r="Q37" s="0">
        <f>IF(AND(R27&gt;0,R35&gt;10),100-R37,7)</f>
        <v/>
      </c>
      <c r="R37" s="0">
        <f>(Q35/R33)*100</f>
        <v/>
      </c>
      <c r="S37" s="0">
        <f>IF(AND(S36="away",R38&lt;82,R3&gt;50),"tired",IF(AND(S36="home",R38&lt;49),"okay home","okay away"))</f>
        <v/>
      </c>
      <c r="AD37" s="216" t="n"/>
      <c r="AE37" s="217" t="n"/>
      <c r="AF37" s="217" t="n"/>
      <c r="AG37" s="217" t="n"/>
      <c r="AH37" s="219" t="n"/>
      <c r="AK37" s="231">
        <f>ABS(AK36)-ABS(AL36)</f>
        <v/>
      </c>
      <c r="AL37" s="232">
        <f>IF(AK37&lt;0,AL4,AK5)</f>
        <v/>
      </c>
      <c r="AP37" s="0">
        <f>IF(AND(AQ27&gt;0,AQ35&gt;10),100-AQ37,7)</f>
        <v/>
      </c>
      <c r="AQ37" s="0">
        <f>(AP35/AQ33)*100</f>
        <v/>
      </c>
      <c r="AR37" s="0">
        <f>IF(AND(AR36="away",AQ38&lt;82,AQ38&gt;50),"tired",IF(AND(AR36="home",AQ38&lt;49),"okay home","okay away"))</f>
        <v/>
      </c>
      <c r="BC37" s="216" t="n"/>
      <c r="BD37" s="217" t="n"/>
      <c r="BE37" s="217" t="n"/>
      <c r="BF37" s="217" t="n"/>
      <c r="BG37" s="219" t="n"/>
      <c r="BO37" s="0">
        <f>IF(AND(BP27&gt;0,BP35&gt;10),100-BP37,7)</f>
        <v/>
      </c>
      <c r="BP37" s="0">
        <f>(BO35/BP33)*100</f>
        <v/>
      </c>
      <c r="BQ37" s="0">
        <f>IF(AND(BQ36="away",BP38&lt;82,BP38&gt;50),"tired",IF(AND(BQ36="home",BP38&lt;49),"okay home","okay away"))</f>
        <v/>
      </c>
      <c r="CB37" s="216" t="n"/>
      <c r="CC37" s="217" t="n"/>
      <c r="CD37" s="217" t="n"/>
      <c r="CE37" s="217" t="n"/>
      <c r="CF37" s="219" t="n"/>
      <c r="CN37" s="0">
        <f>IF(AND(CO27&gt;0,CO35&gt;10),100-CO37,7)</f>
        <v/>
      </c>
      <c r="CO37" s="0">
        <f>(CN35/CO33)*100</f>
        <v/>
      </c>
      <c r="CP37" s="0">
        <f>IF(AND(CP36="away",CO38&lt;82,CO38&gt;50),"tired",IF(AND(CP36="home",CO38&lt;49),"okay home","okay away"))</f>
        <v/>
      </c>
      <c r="DA37" s="216" t="n"/>
      <c r="DB37" s="217" t="n"/>
      <c r="DC37" s="217" t="n"/>
      <c r="DD37" s="217" t="n"/>
      <c r="DE37" s="219" t="n"/>
      <c r="DM37" s="0">
        <f>IF(AND(DN27&gt;0,DN35&gt;10),100-DN37,7)</f>
        <v/>
      </c>
      <c r="DN37" s="0">
        <f>(DM35/DN33)*100</f>
        <v/>
      </c>
      <c r="DO37" s="0">
        <f>IF(AND(DO36="away",DN38&lt;82,DN38&gt;50),"tired",IF(AND(DO36="home",DN38&lt;49),"okay home","okay away"))</f>
        <v/>
      </c>
    </row>
    <row r="38" ht="15.75" customHeight="1" s="276">
      <c r="E38" s="0">
        <f>LARGE($H$5:$H$36,1)</f>
        <v/>
      </c>
      <c r="F38" s="0">
        <f>LARGE($H$5:$H$36,2)</f>
        <v/>
      </c>
      <c r="G38" s="0">
        <f>LARGE($H$5:$H$36,3)</f>
        <v/>
      </c>
      <c r="H38" s="0">
        <f>LARGE($H$5:$H$36,4)</f>
        <v/>
      </c>
      <c r="I38" s="0">
        <f>LARGE($H$5:$H$36,5)</f>
        <v/>
      </c>
      <c r="L38" s="0">
        <f>L35-M35</f>
        <v/>
      </c>
      <c r="M38" s="0">
        <f>IF(L38&lt;0,M4,L5)</f>
        <v/>
      </c>
      <c r="Q38" s="0">
        <f>100-R37</f>
        <v/>
      </c>
      <c r="R38" s="0">
        <f>IF(S36="away",R37,Q38)</f>
        <v/>
      </c>
      <c r="S38" s="0">
        <f>IF(AND(P26="away",S33="home"),"both sides",IF(AND(P27="home",S33="away"),"both sides",S37))</f>
        <v/>
      </c>
      <c r="AK38" s="0">
        <f>AK35-AL35</f>
        <v/>
      </c>
      <c r="AL38" s="0">
        <f>IF(AK38&lt;0,AL4,AK5)</f>
        <v/>
      </c>
      <c r="AP38" s="0">
        <f>100-AQ37</f>
        <v/>
      </c>
      <c r="AQ38" s="0">
        <f>IF(AR36="away",AQ37,AP38)</f>
        <v/>
      </c>
      <c r="AR38" s="0">
        <f>IF(AND(AO26="away",AR33="home"),"both sides",IF(AND(AO27="home",AR33="away"),"both sides",AR37))</f>
        <v/>
      </c>
      <c r="BO38" s="0">
        <f>100-BP37</f>
        <v/>
      </c>
      <c r="BP38" s="0">
        <f>IF(BQ36="away",BP37,BO38)</f>
        <v/>
      </c>
      <c r="BQ38" s="0">
        <f>IF(AND(BN26="away",BQ33="home"),"both sides",IF(AND(BN27="home",BQ33="away"),"both sides",BQ37))</f>
        <v/>
      </c>
      <c r="CN38" s="0">
        <f>100-CO37</f>
        <v/>
      </c>
      <c r="CO38" s="0">
        <f>IF(CP36="away",CO37,CN38)</f>
        <v/>
      </c>
      <c r="CP38" s="0">
        <f>IF(AND(CM26="away",CP33="home"),"both sides",IF(AND(CM27="home",CP33="away"),"both sides",CP37))</f>
        <v/>
      </c>
      <c r="DM38" s="0">
        <f>100-DN37</f>
        <v/>
      </c>
      <c r="DN38" s="0">
        <f>IF(DO36="away",DN37,DM38)</f>
        <v/>
      </c>
      <c r="DO38" s="0">
        <f>IF(AND(DL26="away",DO33="home"),"both sides",IF(AND(DL27="home",DO33="away"),"both sides",DO37))</f>
        <v/>
      </c>
    </row>
    <row r="39" ht="15.75" customHeight="1" s="276">
      <c r="D39" s="0">
        <f>IF(OR(D33="yes",D55="yes",AC55="yes",AC17="yes"),"never","yes")</f>
        <v/>
      </c>
      <c r="E39" s="0">
        <f>AVERAGE(E38:I38)</f>
        <v/>
      </c>
      <c r="H39" s="0">
        <f>IF(I39&gt;0.74,"high",IF(I39&gt;0.64,"medium",IF(I39&gt;0.5,"low","off")))</f>
        <v/>
      </c>
      <c r="I39" s="0">
        <f>CORREL(I5:I36,I43:I74)</f>
        <v/>
      </c>
      <c r="L39" s="0">
        <f>L35-L34</f>
        <v/>
      </c>
      <c r="M39" s="0">
        <f>M35-M34</f>
        <v/>
      </c>
      <c r="U39" s="192" t="n">
        <v>0</v>
      </c>
      <c r="V39" s="192">
        <f>U39+1</f>
        <v/>
      </c>
      <c r="W39" s="192">
        <f>V39+1</f>
        <v/>
      </c>
      <c r="X39" s="192">
        <f>W39+1</f>
        <v/>
      </c>
      <c r="Y39" s="192">
        <f>X39+1</f>
        <v/>
      </c>
      <c r="AG39" s="0">
        <f>IF(AH39&gt;0.9,"high1",IF(AH39&gt;0.74,"high",IF(AH39&gt;0.64,"medium",IF(AH39&gt;0.5,"low","off"))))</f>
        <v/>
      </c>
      <c r="AH39" s="0">
        <f>CORREL(AH5:AH36,AH43:AH74)</f>
        <v/>
      </c>
      <c r="AK39" s="0">
        <f>AK35-AK34</f>
        <v/>
      </c>
      <c r="AL39" s="0">
        <f>AL35-AL34</f>
        <v/>
      </c>
      <c r="AT39" s="192" t="n">
        <v>0</v>
      </c>
      <c r="AU39" s="192">
        <f>AT39+1</f>
        <v/>
      </c>
      <c r="AV39" s="192">
        <f>AU39+1</f>
        <v/>
      </c>
      <c r="AW39" s="192">
        <f>AV39+1</f>
        <v/>
      </c>
      <c r="AX39" s="192">
        <f>AW39+1</f>
        <v/>
      </c>
      <c r="BB39" s="0">
        <f>IF(OR(BB17="yes",BB55="yes",CA55="yes",CA17="yes"),"never","yes")</f>
        <v/>
      </c>
      <c r="BC39" s="0">
        <f>IF(AND(BV25&lt;&gt;1,CU25&lt;&gt;1),"yes",IF(OR(CU25&lt;&gt;1,BV25&lt;&gt;1),"yes1","never"))</f>
        <v/>
      </c>
      <c r="BD39" s="0">
        <f>IF(AND(BB39="yes",BC39="yes1"),"yes1",IF(AND(BC39&lt;&gt;"never",BB39="yes"),"yes","never"))</f>
        <v/>
      </c>
      <c r="BE39" s="0">
        <f>IF(OR(BD39="never", ,BD39="yes1"),"coup","")</f>
        <v/>
      </c>
      <c r="BF39" s="0">
        <f>IF(BG39&gt;0.9,"high1",IF(BG39&gt;0.74,"high",IF(BG39&gt;0.64,"medium",IF(BG39&gt;0.5,"low","off"))))</f>
        <v/>
      </c>
      <c r="BG39" s="0">
        <f>CORREL(BG5:BG36,BG43:BG74)</f>
        <v/>
      </c>
      <c r="BS39" s="192" t="n">
        <v>0</v>
      </c>
      <c r="BT39" s="192">
        <f>BS39+1</f>
        <v/>
      </c>
      <c r="BU39" s="192">
        <f>BT39+1</f>
        <v/>
      </c>
      <c r="BV39" s="192">
        <f>BU39+1</f>
        <v/>
      </c>
      <c r="BW39" s="192">
        <f>BV39+1</f>
        <v/>
      </c>
      <c r="CE39" s="0">
        <f>IF(CF39&gt;0.9,"high1",IF(CF39&gt;0.74,"high",IF(CF39&gt;0.64,"medium",IF(CF39&gt;0.5,"low","off"))))</f>
        <v/>
      </c>
      <c r="CF39" s="0">
        <f>CORREL(CF5:CF36,CF43:CF74)</f>
        <v/>
      </c>
      <c r="CR39" s="192" t="n">
        <v>0</v>
      </c>
      <c r="CS39" s="192">
        <f>CR39+1</f>
        <v/>
      </c>
      <c r="CT39" s="192">
        <f>CS39+1</f>
        <v/>
      </c>
      <c r="CU39" s="192">
        <f>CT39+1</f>
        <v/>
      </c>
      <c r="CV39" s="192">
        <f>CU39+1</f>
        <v/>
      </c>
      <c r="DD39" s="0">
        <f>IF(DE39&gt;0.74,"high",IF(DE39&gt;0.64,"medium",IF(DE39&gt;0.5,"low","off")))</f>
        <v/>
      </c>
      <c r="DE39" s="0">
        <f>CORREL(DE5:DE36,DE43:DE74)</f>
        <v/>
      </c>
      <c r="DQ39" s="192" t="n">
        <v>0</v>
      </c>
      <c r="DR39" s="192">
        <f>DQ39+1</f>
        <v/>
      </c>
      <c r="DS39" s="192">
        <f>DR39+1</f>
        <v/>
      </c>
      <c r="DT39" s="192">
        <f>DS39+1</f>
        <v/>
      </c>
      <c r="DU39" s="192">
        <f>DT39+1</f>
        <v/>
      </c>
    </row>
    <row r="40" ht="15.75" customHeight="1" s="276">
      <c r="D40" s="0">
        <f>IF(AND(X25&lt;&gt;1,AW25&lt;&gt;1),"yes",IF(OR(AW25&lt;&gt;1,X25&lt;&gt;1),"yes1","never"))</f>
        <v/>
      </c>
      <c r="E40" s="0">
        <f>IF(AND(D39="yes",D40="yes1"),"yes1",IF(AND(D40&lt;&gt;"never",D39="yes"),"yes","never"))</f>
        <v/>
      </c>
      <c r="F40" s="0">
        <f>IF(OR(E40="never", ,E40="yes1"),"coup","")</f>
        <v/>
      </c>
      <c r="L40" s="0">
        <f>L39-M39</f>
        <v/>
      </c>
      <c r="M40" s="0">
        <f>ABS(L40)-ABS(AK40)</f>
        <v/>
      </c>
      <c r="T40" s="0">
        <f>AVERAGE(C14:D14)</f>
        <v/>
      </c>
      <c r="U40" s="192">
        <f>POISSON(U39,$T$40,FALSE)*100</f>
        <v/>
      </c>
      <c r="V40" s="192">
        <f>POISSON(V39,$T$40,FALSE)*100</f>
        <v/>
      </c>
      <c r="W40" s="192">
        <f>POISSON(W39,$T$40,FALSE)*100</f>
        <v/>
      </c>
      <c r="X40" s="192">
        <f>POISSON(X39,$T$40,FALSE)*100</f>
        <v/>
      </c>
      <c r="Y40" s="192">
        <f>POISSON(Y39,$T$40,FALSE)*100</f>
        <v/>
      </c>
      <c r="Z40" s="196" t="n">
        <v>99.99999119172436</v>
      </c>
      <c r="AK40" s="0">
        <f>AK39-AL39</f>
        <v/>
      </c>
      <c r="AS40" s="0">
        <f>AVERAGE(C15:D15)</f>
        <v/>
      </c>
      <c r="AT40" s="192">
        <f>POISSON(AT39,$AS$40,FALSE)*100</f>
        <v/>
      </c>
      <c r="AU40" s="192">
        <f>POISSON(AU39,$AS$40,FALSE)*100</f>
        <v/>
      </c>
      <c r="AV40" s="192">
        <f>POISSON(AV39,$AS$40,FALSE)*100</f>
        <v/>
      </c>
      <c r="AW40" s="192">
        <f>POISSON(AW39,$AS$40,FALSE)*100</f>
        <v/>
      </c>
      <c r="AX40" s="192">
        <f>POISSON(AX39,$AS$40,FALSE)*100</f>
        <v/>
      </c>
      <c r="AY40" s="0">
        <f>SUM(AT40:AX40,AT42:AX42)</f>
        <v/>
      </c>
      <c r="BR40" s="0">
        <f>AVERAGE(C16:D16)</f>
        <v/>
      </c>
      <c r="BS40" s="192">
        <f>POISSON(BS39,$BR$40,FALSE)*100</f>
        <v/>
      </c>
      <c r="BT40" s="192">
        <f>POISSON(BT39,$BR$40,FALSE)*100</f>
        <v/>
      </c>
      <c r="BU40" s="192">
        <f>POISSON(BU39,$BR$40,FALSE)*100</f>
        <v/>
      </c>
      <c r="BV40" s="192">
        <f>POISSON(BV39,$BR$40,FALSE)*100</f>
        <v/>
      </c>
      <c r="BW40" s="192">
        <f>POISSON(BW39,$BR$40,FALSE)*100</f>
        <v/>
      </c>
      <c r="BX40" s="0">
        <f>SUM(BS40:BW40,BS42:BW42)</f>
        <v/>
      </c>
      <c r="CQ40" s="0">
        <f>AVERAGE(C17:D17)</f>
        <v/>
      </c>
      <c r="CR40" s="192">
        <f>POISSON(CR39,$CQ$40,FALSE)*100</f>
        <v/>
      </c>
      <c r="CS40" s="192">
        <f>POISSON(CS39,$CQ$40,FALSE)*100</f>
        <v/>
      </c>
      <c r="CT40" s="192">
        <f>POISSON(CT39,$CQ$40,FALSE)*100</f>
        <v/>
      </c>
      <c r="CU40" s="192">
        <f>POISSON(CU39,$CQ$40,FALSE)*100</f>
        <v/>
      </c>
      <c r="CV40" s="192">
        <f>POISSON(CV39,$CQ$40,FALSE)*100</f>
        <v/>
      </c>
      <c r="CW40" s="0">
        <f>SUM(CR40:CV40,CR42:CV42)</f>
        <v/>
      </c>
      <c r="DP40" s="0">
        <f>AVERAGE(C18:D18)</f>
        <v/>
      </c>
      <c r="DQ40" s="192">
        <f>POISSON(DQ39,$DP$40,FALSE)*100</f>
        <v/>
      </c>
      <c r="DR40" s="192">
        <f>POISSON(DR39,$DP$40,FALSE)*100</f>
        <v/>
      </c>
      <c r="DS40" s="192">
        <f>POISSON(DS39,$DP$40,FALSE)*100</f>
        <v/>
      </c>
      <c r="DT40" s="192">
        <f>POISSON(DT39,$DP$40,FALSE)*100</f>
        <v/>
      </c>
      <c r="DU40" s="192">
        <f>POISSON(DU39,$DP$40,FALSE)*100</f>
        <v/>
      </c>
      <c r="DV40" s="0">
        <f>SUM(DQ40:DU40,DQ42:DU42)</f>
        <v/>
      </c>
    </row>
    <row r="41" ht="15.75" customHeight="1" s="276">
      <c r="F41" s="0" t="n">
        <v>1</v>
      </c>
      <c r="T41" s="0">
        <f>C14-D14</f>
        <v/>
      </c>
      <c r="U41" s="192" t="n">
        <v>5</v>
      </c>
      <c r="V41" s="192">
        <f>U41+1</f>
        <v/>
      </c>
      <c r="W41" s="192">
        <f>V41+1</f>
        <v/>
      </c>
      <c r="X41" s="192">
        <f>W41+1</f>
        <v/>
      </c>
      <c r="Y41" s="192">
        <f>X41+1</f>
        <v/>
      </c>
      <c r="Z41" s="196" t="n">
        <v>0</v>
      </c>
      <c r="AA41" s="196" t="n">
        <v>37.73716722448017</v>
      </c>
      <c r="AB41" s="0">
        <f>AA42-AA41</f>
        <v/>
      </c>
      <c r="AC41" s="196">
        <f>AB41-AB42</f>
        <v/>
      </c>
      <c r="AS41" s="0">
        <f>C15-D15</f>
        <v/>
      </c>
      <c r="AT41" s="192" t="n">
        <v>5</v>
      </c>
      <c r="AU41" s="192">
        <f>AT41+1</f>
        <v/>
      </c>
      <c r="AV41" s="192">
        <f>AU41+1</f>
        <v/>
      </c>
      <c r="AW41" s="192">
        <f>AV41+1</f>
        <v/>
      </c>
      <c r="AX41" s="192">
        <f>AW41+1</f>
        <v/>
      </c>
      <c r="AY41" s="0" t="n">
        <v>0</v>
      </c>
      <c r="AZ41" s="0">
        <f>AT40</f>
        <v/>
      </c>
      <c r="BA41" s="0">
        <f>AZ42-AZ41</f>
        <v/>
      </c>
      <c r="BB41" s="0">
        <f>BA41-BA42</f>
        <v/>
      </c>
      <c r="BR41" s="0">
        <f>C16-D16</f>
        <v/>
      </c>
      <c r="BS41" s="192" t="n">
        <v>5</v>
      </c>
      <c r="BT41" s="192">
        <f>BS41+1</f>
        <v/>
      </c>
      <c r="BU41" s="192">
        <f>BT41+1</f>
        <v/>
      </c>
      <c r="BV41" s="192">
        <f>BU41+1</f>
        <v/>
      </c>
      <c r="BW41" s="192">
        <f>BV41+1</f>
        <v/>
      </c>
      <c r="BX41" s="0" t="n">
        <v>0</v>
      </c>
      <c r="BY41" s="0">
        <f>BS40</f>
        <v/>
      </c>
      <c r="BZ41" s="0">
        <f>BY42-BY41</f>
        <v/>
      </c>
      <c r="CA41" s="0">
        <f>BZ41-BZ42</f>
        <v/>
      </c>
      <c r="CQ41" s="0">
        <f>C17-D17</f>
        <v/>
      </c>
      <c r="CR41" s="192" t="n">
        <v>5</v>
      </c>
      <c r="CS41" s="192">
        <f>CR41+1</f>
        <v/>
      </c>
      <c r="CT41" s="192">
        <f>CS41+1</f>
        <v/>
      </c>
      <c r="CU41" s="192">
        <f>CT41+1</f>
        <v/>
      </c>
      <c r="CV41" s="192">
        <f>CU41+1</f>
        <v/>
      </c>
      <c r="CW41" s="0" t="n">
        <v>0</v>
      </c>
      <c r="CX41" s="0">
        <f>CR40</f>
        <v/>
      </c>
      <c r="CY41" s="0">
        <f>CX42-CX41</f>
        <v/>
      </c>
      <c r="CZ41" s="0">
        <f>CY41-CY42</f>
        <v/>
      </c>
      <c r="DP41" s="0">
        <f>C18-D18</f>
        <v/>
      </c>
      <c r="DQ41" s="192" t="n">
        <v>5</v>
      </c>
      <c r="DR41" s="192">
        <f>DQ41+1</f>
        <v/>
      </c>
      <c r="DS41" s="192">
        <f>DR41+1</f>
        <v/>
      </c>
      <c r="DT41" s="192">
        <f>DS41+1</f>
        <v/>
      </c>
      <c r="DU41" s="192">
        <f>DT41+1</f>
        <v/>
      </c>
      <c r="DV41" s="0" t="n">
        <v>0</v>
      </c>
      <c r="DW41" s="0">
        <f>DQ40</f>
        <v/>
      </c>
      <c r="DX41" s="0">
        <f>DW42-DW41</f>
        <v/>
      </c>
      <c r="DY41" s="0">
        <f>DX41-DX42</f>
        <v/>
      </c>
    </row>
    <row r="42" ht="15.75" customHeight="1" s="276">
      <c r="E42" s="233">
        <f>Sheet1!G48</f>
        <v/>
      </c>
      <c r="G42" s="234">
        <f>Sheet1!F48</f>
        <v/>
      </c>
      <c r="H42" s="0" t="inlineStr">
        <is>
          <t xml:space="preserve">chance </t>
        </is>
      </c>
      <c r="L42" s="0" t="inlineStr">
        <is>
          <t>no of goals</t>
        </is>
      </c>
      <c r="M42" s="234">
        <f>G42</f>
        <v/>
      </c>
      <c r="N42" s="0">
        <f>0</f>
        <v/>
      </c>
      <c r="O42" s="0">
        <f>N42+1</f>
        <v/>
      </c>
      <c r="P42" s="0">
        <f>O42+1</f>
        <v/>
      </c>
      <c r="Q42" s="0">
        <f>P42+1</f>
        <v/>
      </c>
      <c r="R42" s="0">
        <f>Q42+1</f>
        <v/>
      </c>
      <c r="S42" s="0">
        <f>R42+1</f>
        <v/>
      </c>
      <c r="U42" s="192">
        <f>POISSON(U41,$T$40,FALSE)*100</f>
        <v/>
      </c>
      <c r="V42" s="192">
        <f>POISSON(V41,$T$40,FALSE)*100</f>
        <v/>
      </c>
      <c r="W42" s="192">
        <f>POISSON(W41,$T$40,FALSE)*100</f>
        <v/>
      </c>
      <c r="X42" s="192">
        <f>POISSON(X41,$T$40,FALSE)*100</f>
        <v/>
      </c>
      <c r="Y42" s="192">
        <f>POISSON(Y41,$T$40,FALSE)*100</f>
        <v/>
      </c>
      <c r="Z42" s="196">
        <f>Z41+1</f>
        <v/>
      </c>
      <c r="AA42" s="196" t="n">
        <v>74.51296913841995</v>
      </c>
      <c r="AB42" s="0">
        <f>AA43-AA42</f>
        <v/>
      </c>
      <c r="AC42" s="196">
        <f>AB42-AB43</f>
        <v/>
      </c>
      <c r="AD42" s="233">
        <f>Sheet1!K48</f>
        <v/>
      </c>
      <c r="AF42" s="234">
        <f>Sheet1!J48</f>
        <v/>
      </c>
      <c r="AG42" s="0" t="inlineStr">
        <is>
          <t xml:space="preserve">chance </t>
        </is>
      </c>
      <c r="AK42" s="0" t="inlineStr">
        <is>
          <t>no of goals</t>
        </is>
      </c>
      <c r="AL42" s="234">
        <f>AF42</f>
        <v/>
      </c>
      <c r="AM42" s="0">
        <f>0</f>
        <v/>
      </c>
      <c r="AN42" s="0">
        <f>AM42+1</f>
        <v/>
      </c>
      <c r="AO42" s="0">
        <f>AN42+1</f>
        <v/>
      </c>
      <c r="AP42" s="0">
        <f>AO42+1</f>
        <v/>
      </c>
      <c r="AQ42" s="0">
        <f>AP42+1</f>
        <v/>
      </c>
      <c r="AR42" s="0">
        <f>AQ42+1</f>
        <v/>
      </c>
      <c r="AT42" s="192">
        <f>POISSON(AT41,$AS$40,FALSE)*100</f>
        <v/>
      </c>
      <c r="AU42" s="192">
        <f>POISSON(AU41,$AS$40,FALSE)*100</f>
        <v/>
      </c>
      <c r="AV42" s="192">
        <f>POISSON(AV41,$AS$40,FALSE)*100</f>
        <v/>
      </c>
      <c r="AW42" s="192">
        <f>POISSON(AW41,$AS$40,FALSE)*100</f>
        <v/>
      </c>
      <c r="AX42" s="192">
        <f>POISSON(AX41,$AS$40,FALSE)*100</f>
        <v/>
      </c>
      <c r="AY42" s="0">
        <f>AY41+1</f>
        <v/>
      </c>
      <c r="AZ42" s="0">
        <f>SUM(AT40,AU40)</f>
        <v/>
      </c>
      <c r="BA42" s="0">
        <f>AZ43-AZ42</f>
        <v/>
      </c>
      <c r="BB42" s="0">
        <f>BA42-BA43</f>
        <v/>
      </c>
      <c r="BC42" s="233">
        <f>Sheet1!O48</f>
        <v/>
      </c>
      <c r="BE42" s="234">
        <f>Sheet1!N48</f>
        <v/>
      </c>
      <c r="BF42" s="0" t="inlineStr">
        <is>
          <t xml:space="preserve">chance </t>
        </is>
      </c>
      <c r="BJ42" s="0" t="inlineStr">
        <is>
          <t>no of goals</t>
        </is>
      </c>
      <c r="BK42" s="234">
        <f>BE42</f>
        <v/>
      </c>
      <c r="BL42" s="0">
        <f>0</f>
        <v/>
      </c>
      <c r="BM42" s="0">
        <f>BL42+1</f>
        <v/>
      </c>
      <c r="BN42" s="0">
        <f>BM42+1</f>
        <v/>
      </c>
      <c r="BO42" s="0">
        <f>BN42+1</f>
        <v/>
      </c>
      <c r="BP42" s="0">
        <f>BO42+1</f>
        <v/>
      </c>
      <c r="BQ42" s="0">
        <f>BP42+1</f>
        <v/>
      </c>
      <c r="BS42" s="192">
        <f>POISSON(BS41,$BR$40,FALSE)*100</f>
        <v/>
      </c>
      <c r="BT42" s="192">
        <f>POISSON(BT41,$BR$40,FALSE)*100</f>
        <v/>
      </c>
      <c r="BU42" s="192">
        <f>POISSON(BU41,$BR$40,FALSE)*100</f>
        <v/>
      </c>
      <c r="BV42" s="192">
        <f>POISSON(BV41,$BR$40,FALSE)*100</f>
        <v/>
      </c>
      <c r="BW42" s="192">
        <f>POISSON(BW41,$BR$40,FALSE)*100</f>
        <v/>
      </c>
      <c r="BX42" s="0">
        <f>BX41+1</f>
        <v/>
      </c>
      <c r="BY42" s="0">
        <f>SUM(BS40,BT40)</f>
        <v/>
      </c>
      <c r="BZ42" s="0">
        <f>BY43-BY42</f>
        <v/>
      </c>
      <c r="CA42" s="0">
        <f>BZ42-BZ43</f>
        <v/>
      </c>
      <c r="CB42" s="233">
        <f>Sheet1!S48</f>
        <v/>
      </c>
      <c r="CD42" s="234">
        <f>Sheet1!R48</f>
        <v/>
      </c>
      <c r="CE42" s="0" t="inlineStr">
        <is>
          <t xml:space="preserve">chance </t>
        </is>
      </c>
      <c r="CI42" s="0" t="inlineStr">
        <is>
          <t>no of goals</t>
        </is>
      </c>
      <c r="CJ42" s="234">
        <f>Sheet1!R48</f>
        <v/>
      </c>
      <c r="CK42" s="0">
        <f>0</f>
        <v/>
      </c>
      <c r="CL42" s="0">
        <f>CK42+1</f>
        <v/>
      </c>
      <c r="CM42" s="0">
        <f>CL42+1</f>
        <v/>
      </c>
      <c r="CN42" s="0">
        <f>CM42+1</f>
        <v/>
      </c>
      <c r="CO42" s="0">
        <f>CN42+1</f>
        <v/>
      </c>
      <c r="CP42" s="0">
        <f>CO42+1</f>
        <v/>
      </c>
      <c r="CR42" s="192">
        <f>POISSON(CR41,$CQ$40,FALSE)*100</f>
        <v/>
      </c>
      <c r="CS42" s="192">
        <f>POISSON(CS41,$CQ$40,FALSE)*100</f>
        <v/>
      </c>
      <c r="CT42" s="192">
        <f>POISSON(CT41,$CQ$40,FALSE)*100</f>
        <v/>
      </c>
      <c r="CU42" s="192">
        <f>POISSON(CU41,$CQ$40,FALSE)*100</f>
        <v/>
      </c>
      <c r="CV42" s="192">
        <f>POISSON(CV41,$CQ$40,FALSE)*100</f>
        <v/>
      </c>
      <c r="CW42" s="0">
        <f>CW41+1</f>
        <v/>
      </c>
      <c r="CX42" s="0">
        <f>SUM(CR40,CS40)</f>
        <v/>
      </c>
      <c r="CY42" s="0">
        <f>CX43-CX42</f>
        <v/>
      </c>
      <c r="CZ42" s="0">
        <f>CY42-CY43</f>
        <v/>
      </c>
      <c r="DA42" s="233">
        <f>Sheet1!W48</f>
        <v/>
      </c>
      <c r="DC42" s="234">
        <f>Sheet1!V48</f>
        <v/>
      </c>
      <c r="DD42" s="0" t="inlineStr">
        <is>
          <t xml:space="preserve">chance </t>
        </is>
      </c>
      <c r="DH42" s="0" t="inlineStr">
        <is>
          <t>no of goals</t>
        </is>
      </c>
      <c r="DI42" s="234">
        <f>DC42</f>
        <v/>
      </c>
      <c r="DJ42" s="0">
        <f>0</f>
        <v/>
      </c>
      <c r="DK42" s="0">
        <f>DJ42+1</f>
        <v/>
      </c>
      <c r="DL42" s="0">
        <f>DK42+1</f>
        <v/>
      </c>
      <c r="DM42" s="0">
        <f>DL42+1</f>
        <v/>
      </c>
      <c r="DN42" s="0">
        <f>DM42+1</f>
        <v/>
      </c>
      <c r="DO42" s="0">
        <f>DN42+1</f>
        <v/>
      </c>
      <c r="DQ42" s="192">
        <f>POISSON(DQ41,$DP$40,FALSE)*100</f>
        <v/>
      </c>
      <c r="DR42" s="192">
        <f>POISSON(DR41,$DP$40,FALSE)*100</f>
        <v/>
      </c>
      <c r="DS42" s="192">
        <f>POISSON(DS41,$DP$40,FALSE)*100</f>
        <v/>
      </c>
      <c r="DT42" s="192">
        <f>POISSON(DT41,$DP$40,FALSE)*100</f>
        <v/>
      </c>
      <c r="DU42" s="192">
        <f>POISSON(DU41,$DP$40,FALSE)*100</f>
        <v/>
      </c>
      <c r="DV42" s="0">
        <f>DV41+1</f>
        <v/>
      </c>
      <c r="DW42" s="0">
        <f>SUM(DQ40,DR40)</f>
        <v/>
      </c>
      <c r="DX42" s="0">
        <f>DW43-DW42</f>
        <v/>
      </c>
      <c r="DY42" s="0">
        <f>DX42-DX43</f>
        <v/>
      </c>
    </row>
    <row r="43" ht="14.95" customHeight="1" s="276">
      <c r="E43" s="201" t="n">
        <v>0</v>
      </c>
      <c r="F43" s="202" t="inlineStr">
        <is>
          <t>:</t>
        </is>
      </c>
      <c r="G43" s="203" t="n">
        <v>0</v>
      </c>
      <c r="H43" s="0">
        <f>POISSON(E43,$C$14,FALSE)*POISSON(G43,$D$14,FALSE)</f>
        <v/>
      </c>
      <c r="I43" s="0">
        <f>RANK(H43,$H$43:$H$74,0)</f>
        <v/>
      </c>
      <c r="J43" s="0">
        <f>IF(J62="away",J57-(J61*3),IF(J62="home",J57-(J60*3),J57))</f>
        <v/>
      </c>
      <c r="L43" s="235">
        <f>E42</f>
        <v/>
      </c>
      <c r="M43" s="0" t="inlineStr">
        <is>
          <t>prob</t>
        </is>
      </c>
      <c r="N43" s="0">
        <f>POISSON(N42,$D$14,FALSE)</f>
        <v/>
      </c>
      <c r="O43" s="0">
        <f>POISSON(O42,$D$14,FALSE)</f>
        <v/>
      </c>
      <c r="P43" s="0">
        <f>POISSON(P42,$D$14,FALSE)</f>
        <v/>
      </c>
      <c r="Q43" s="0">
        <f>POISSON(Q42,$D$14,FALSE)</f>
        <v/>
      </c>
      <c r="R43" s="0">
        <f>POISSON(R42,$D$14,FALSE)</f>
        <v/>
      </c>
      <c r="S43" s="0">
        <f>POISSON(S42,$D$14,FALSE)</f>
        <v/>
      </c>
      <c r="W43" s="0" t="inlineStr">
        <is>
          <t xml:space="preserve">under  </t>
        </is>
      </c>
      <c r="X43" s="0" t="inlineStr">
        <is>
          <t xml:space="preserve">over </t>
        </is>
      </c>
      <c r="Z43" s="196">
        <f>Z42+1</f>
        <v/>
      </c>
      <c r="AA43" s="196" t="n">
        <v>92.43243297056463</v>
      </c>
      <c r="AB43" s="0">
        <f>AA44-AA43</f>
        <v/>
      </c>
      <c r="AC43" s="196">
        <f>AB43-AB44</f>
        <v/>
      </c>
      <c r="AD43" s="201" t="n">
        <v>0</v>
      </c>
      <c r="AE43" s="202" t="inlineStr">
        <is>
          <t>:</t>
        </is>
      </c>
      <c r="AF43" s="203" t="n">
        <v>0</v>
      </c>
      <c r="AG43" s="0">
        <f>POISSON(AD43,$C$15,FALSE)*POISSON(AF43,$D$15,FALSE)</f>
        <v/>
      </c>
      <c r="AH43" s="0">
        <f>RANK(AG43,$AG$43:$AG$74,0)</f>
        <v/>
      </c>
      <c r="AI43" s="0">
        <f>IF(AI62="away",AI57-(AI61*3),IF(AI62="home",AI57-(AI60*3),AI57))</f>
        <v/>
      </c>
      <c r="AK43" s="235">
        <f>AD42</f>
        <v/>
      </c>
      <c r="AL43" s="0" t="inlineStr">
        <is>
          <t>prob</t>
        </is>
      </c>
      <c r="AM43" s="0">
        <f>POISSON(AM42,$D$15,FALSE)</f>
        <v/>
      </c>
      <c r="AN43" s="0">
        <f>POISSON(AN42,$D$15,FALSE)</f>
        <v/>
      </c>
      <c r="AO43" s="0">
        <f>POISSON(AO42,$D$15,FALSE)</f>
        <v/>
      </c>
      <c r="AP43" s="0">
        <f>POISSON(AP42,$D$15,FALSE)</f>
        <v/>
      </c>
      <c r="AQ43" s="0">
        <f>POISSON(AQ42,$D$15,FALSE)</f>
        <v/>
      </c>
      <c r="AR43" s="0">
        <f>POISSON(AR42,$D$15,FALSE)</f>
        <v/>
      </c>
      <c r="AV43" s="0" t="inlineStr">
        <is>
          <t xml:space="preserve">under  </t>
        </is>
      </c>
      <c r="AW43" s="0" t="inlineStr">
        <is>
          <t xml:space="preserve">over </t>
        </is>
      </c>
      <c r="AY43" s="0">
        <f>AY42+1</f>
        <v/>
      </c>
      <c r="AZ43" s="0">
        <f>SUM(AT40,AU40,AV40)</f>
        <v/>
      </c>
      <c r="BA43" s="0">
        <f>AZ44-AZ43</f>
        <v/>
      </c>
      <c r="BB43" s="0">
        <f>BA43-BA44</f>
        <v/>
      </c>
      <c r="BC43" s="201" t="n">
        <v>0</v>
      </c>
      <c r="BD43" s="202" t="inlineStr">
        <is>
          <t>:</t>
        </is>
      </c>
      <c r="BE43" s="203" t="n">
        <v>0</v>
      </c>
      <c r="BF43" s="0">
        <f>POISSON(BC43,$C$16,FALSE)*POISSON(BE43,$D$16,FALSE)</f>
        <v/>
      </c>
      <c r="BG43" s="0">
        <f>RANK(BF43,$BF$43:$BF$74,0)</f>
        <v/>
      </c>
      <c r="BH43" s="0">
        <f>IF(BH62="away",BH57-(BH61*3),IF(BH62="home",BH57-(BH60*3),BH57))</f>
        <v/>
      </c>
      <c r="BJ43" s="235">
        <f>BC42</f>
        <v/>
      </c>
      <c r="BK43" s="0" t="inlineStr">
        <is>
          <t>prob</t>
        </is>
      </c>
      <c r="BL43" s="0">
        <f>POISSON(BL42,$D$16,FALSE)</f>
        <v/>
      </c>
      <c r="BM43" s="0">
        <f>POISSON(BM42,$D$16,FALSE)</f>
        <v/>
      </c>
      <c r="BN43" s="0">
        <f>POISSON(BN42,$D$16,FALSE)</f>
        <v/>
      </c>
      <c r="BO43" s="0">
        <f>POISSON(BO42,$D$16,FALSE)</f>
        <v/>
      </c>
      <c r="BP43" s="0">
        <f>POISSON(BP42,$D$16,FALSE)</f>
        <v/>
      </c>
      <c r="BQ43" s="0">
        <f>POISSON(BQ42,$D$16,FALSE)</f>
        <v/>
      </c>
      <c r="BU43" s="0" t="inlineStr">
        <is>
          <t xml:space="preserve">under  </t>
        </is>
      </c>
      <c r="BV43" s="0" t="inlineStr">
        <is>
          <t xml:space="preserve">over </t>
        </is>
      </c>
      <c r="BX43" s="0">
        <f>BX42+1</f>
        <v/>
      </c>
      <c r="BY43" s="0">
        <f>SUM(BS40,BT40,BU40)</f>
        <v/>
      </c>
      <c r="BZ43" s="0">
        <f>BY44-BY43</f>
        <v/>
      </c>
      <c r="CA43" s="0">
        <f>BZ43-BZ44</f>
        <v/>
      </c>
      <c r="CB43" s="201" t="n">
        <v>0</v>
      </c>
      <c r="CC43" s="202" t="inlineStr">
        <is>
          <t>:</t>
        </is>
      </c>
      <c r="CD43" s="203" t="n">
        <v>0</v>
      </c>
      <c r="CE43" s="0">
        <f>POISSON(CB43,$C$17,FALSE)*POISSON(CD43,$D$17,FALSE)</f>
        <v/>
      </c>
      <c r="CF43" s="0">
        <f>RANK(CE43,$CE$43:$CE$74,0)</f>
        <v/>
      </c>
      <c r="CG43" s="0">
        <f>IF(CG62="away",CG57-(CG61*3),IF(CG62="home",CG57-(CG60*3),CG57))</f>
        <v/>
      </c>
      <c r="CI43" s="235">
        <f>Sheet1!S48</f>
        <v/>
      </c>
      <c r="CJ43" s="0" t="inlineStr">
        <is>
          <t>prob</t>
        </is>
      </c>
      <c r="CK43" s="0">
        <f>POISSON(CK42,$D$17,FALSE)</f>
        <v/>
      </c>
      <c r="CL43" s="0">
        <f>POISSON(CL42,$D$17,FALSE)</f>
        <v/>
      </c>
      <c r="CM43" s="0">
        <f>POISSON(CM42,$D$17,FALSE)</f>
        <v/>
      </c>
      <c r="CN43" s="0">
        <f>POISSON(CN42,$D$17,FALSE)</f>
        <v/>
      </c>
      <c r="CO43" s="0">
        <f>POISSON(CO42,$D$17,FALSE)</f>
        <v/>
      </c>
      <c r="CP43" s="0">
        <f>POISSON(CP42,$D$17,FALSE)</f>
        <v/>
      </c>
      <c r="CT43" s="0" t="inlineStr">
        <is>
          <t xml:space="preserve">under  </t>
        </is>
      </c>
      <c r="CU43" s="0" t="inlineStr">
        <is>
          <t xml:space="preserve">over </t>
        </is>
      </c>
      <c r="CW43" s="0">
        <f>CW42+1</f>
        <v/>
      </c>
      <c r="CX43" s="0">
        <f>SUM(CR40,CS40,CT40)</f>
        <v/>
      </c>
      <c r="CY43" s="0">
        <f>CX44-CX43</f>
        <v/>
      </c>
      <c r="CZ43" s="0">
        <f>CY43-CY44</f>
        <v/>
      </c>
      <c r="DA43" s="201" t="n">
        <v>0</v>
      </c>
      <c r="DB43" s="202" t="inlineStr">
        <is>
          <t>:</t>
        </is>
      </c>
      <c r="DC43" s="203" t="n">
        <v>0</v>
      </c>
      <c r="DD43" s="0">
        <f>POISSON(DA43,$C$18,FALSE)*POISSON(DC43,$D$18,FALSE)</f>
        <v/>
      </c>
      <c r="DE43" s="0">
        <f>RANK(DD43,$DD$43:$DD$74,0)</f>
        <v/>
      </c>
      <c r="DF43" s="0">
        <f>IF(DF62="away",DF57-(DF61*3),IF(DF62="home",DF57-(DF60*3),DF57))</f>
        <v/>
      </c>
      <c r="DH43" s="235">
        <f>DA42</f>
        <v/>
      </c>
      <c r="DI43" s="0" t="inlineStr">
        <is>
          <t>prob</t>
        </is>
      </c>
      <c r="DJ43" s="0">
        <f>POISSON(DJ42,$D$18,FALSE)</f>
        <v/>
      </c>
      <c r="DK43" s="0">
        <f>POISSON(DK42,$D$18,FALSE)</f>
        <v/>
      </c>
      <c r="DL43" s="0">
        <f>POISSON(DL42,$D$18,FALSE)</f>
        <v/>
      </c>
      <c r="DM43" s="0">
        <f>POISSON(DM42,$D$18,FALSE)</f>
        <v/>
      </c>
      <c r="DN43" s="0">
        <f>POISSON(DN42,$D$18,FALSE)</f>
        <v/>
      </c>
      <c r="DO43" s="0">
        <f>POISSON(DO42,$D$18,FALSE)</f>
        <v/>
      </c>
      <c r="DS43" s="0" t="inlineStr">
        <is>
          <t xml:space="preserve">under  </t>
        </is>
      </c>
      <c r="DT43" s="0" t="inlineStr">
        <is>
          <t xml:space="preserve">over </t>
        </is>
      </c>
      <c r="DV43" s="0">
        <f>DV42+1</f>
        <v/>
      </c>
      <c r="DW43" s="0">
        <f>SUM(DQ40,DR40,DS40)</f>
        <v/>
      </c>
      <c r="DX43" s="0">
        <f>DW44-DW43</f>
        <v/>
      </c>
      <c r="DY43" s="0">
        <f>DX43-DX44</f>
        <v/>
      </c>
    </row>
    <row r="44" ht="15.75" customHeight="1" s="276">
      <c r="E44" s="201" t="n">
        <v>0</v>
      </c>
      <c r="F44" s="202" t="inlineStr">
        <is>
          <t>:</t>
        </is>
      </c>
      <c r="G44" s="203" t="n">
        <v>1</v>
      </c>
      <c r="H44" s="0">
        <f>POISSON(E44,$C$14,FALSE)*POISSON(G44,$D$14,FALSE)</f>
        <v/>
      </c>
      <c r="I44" s="0">
        <f>RANK(H44,$H$43:$H$74,0)</f>
        <v/>
      </c>
      <c r="J44" s="0">
        <f>IF(I43=1,"draw",IF(I44=1,"away",IF(I45=1,"draw 1-1",IF(I46=1,"home",IF(I47=1,"away 0-2",IF(I48=1,"away 1-2",IF(I49=1,"home 2-1","rountime")))))))</f>
        <v/>
      </c>
      <c r="K44" s="0">
        <f>IF(OR(J44="away",J44="home",J44="draw"),"small",IF(OR(J44="away",J44="home",J44="draw",J44="draw 1-1",J44="away 0-2"),"under",IF(J44="rountime","RT",0)))</f>
        <v/>
      </c>
      <c r="L44" s="0">
        <f>0</f>
        <v/>
      </c>
      <c r="M44" s="0">
        <f>POISSON(L44,$C$14,FALSE)</f>
        <v/>
      </c>
      <c r="N44" s="0">
        <f>M44*$N$43</f>
        <v/>
      </c>
      <c r="O44" s="0">
        <f>M44*$O$43</f>
        <v/>
      </c>
      <c r="P44" s="0">
        <f>M44*$P$43</f>
        <v/>
      </c>
      <c r="Q44" s="0">
        <f>M44*$Q$43</f>
        <v/>
      </c>
      <c r="R44" s="0">
        <f>M44*$R$43</f>
        <v/>
      </c>
      <c r="S44" s="0">
        <f>M44*$S$43</f>
        <v/>
      </c>
      <c r="T44" s="192">
        <f>SUM(R44:S47,S48,Q44,Q45,Q46,P45,P44,O44)*100</f>
        <v/>
      </c>
      <c r="V44" s="0" t="n">
        <v>0.5</v>
      </c>
      <c r="W44" s="0">
        <f>N44</f>
        <v/>
      </c>
      <c r="X44" s="0">
        <f>SUM(O44:S49,N45:N49)</f>
        <v/>
      </c>
      <c r="Y44" s="0">
        <f>SUM(N44:S49)</f>
        <v/>
      </c>
      <c r="Z44" s="196">
        <f>Z43+1</f>
        <v/>
      </c>
      <c r="AA44" s="196" t="n">
        <v>98.25341973033626</v>
      </c>
      <c r="AB44" s="0">
        <f>AA45-AA44</f>
        <v/>
      </c>
      <c r="AC44" s="0">
        <f>IF(AND(AC42&gt;AC41,AC43),2.5,IF(AND(AC41&gt;AC42,AC43),1.5,IF(AND(AC43&gt;AC41,AC42),3.5)))</f>
        <v/>
      </c>
      <c r="AD44" s="201" t="n">
        <v>0</v>
      </c>
      <c r="AE44" s="202" t="inlineStr">
        <is>
          <t>:</t>
        </is>
      </c>
      <c r="AF44" s="203" t="n">
        <v>1</v>
      </c>
      <c r="AG44" s="0">
        <f>POISSON(AD44,$C$15,FALSE)*POISSON(AF44,$D$15,FALSE)</f>
        <v/>
      </c>
      <c r="AH44" s="0">
        <f>RANK(AG44,$AG$43:$AG$74,0)</f>
        <v/>
      </c>
      <c r="AI44" s="0">
        <f>IF(AH43=1,"draw",IF(AH44=1,"away",IF(AH45=1,"draw 1-1",IF(AH46=1,"home",IF(AH47=1,"away 0-2",IF(AH48=1,"away 1-2",IF(AH49=1,"home 2-1","rountime")))))))</f>
        <v/>
      </c>
      <c r="AJ44" s="0">
        <f>IF(OR(AI44="away",AI44="home",AI44="draw"),"small",IF(OR(AI44="away",AI44="home",AI44="draw",AI44="draw 1-1",AI44="away 0-2"),"under",IF(AI44="rountime","RT",0)))</f>
        <v/>
      </c>
      <c r="AK44" s="0">
        <f>0</f>
        <v/>
      </c>
      <c r="AL44" s="0">
        <f>POISSON(AK44,$C$15,FALSE)</f>
        <v/>
      </c>
      <c r="AM44" s="0">
        <f>AL44*$AM$43</f>
        <v/>
      </c>
      <c r="AN44" s="0">
        <f>AL44*$AN$43</f>
        <v/>
      </c>
      <c r="AO44" s="0">
        <f>AL44*$AO$43</f>
        <v/>
      </c>
      <c r="AP44" s="0">
        <f>AL44*$AP$43</f>
        <v/>
      </c>
      <c r="AQ44" s="0">
        <f>AL44*$AQ$43</f>
        <v/>
      </c>
      <c r="AR44" s="0">
        <f>AL44*$AR$43</f>
        <v/>
      </c>
      <c r="AS44" s="192">
        <f>SUM(AQ44:AR47,AR48,AP44,AP45,AP46,AO45,AO44,AN44)*100</f>
        <v/>
      </c>
      <c r="AU44" s="0" t="n">
        <v>0.5</v>
      </c>
      <c r="AV44" s="0">
        <f>AM44</f>
        <v/>
      </c>
      <c r="AW44" s="0">
        <f>SUM(AN44:AR49,AM45:AM49)</f>
        <v/>
      </c>
      <c r="AX44" s="0">
        <f>SUM(AM44:AR49)</f>
        <v/>
      </c>
      <c r="AY44" s="0">
        <f>AY43+1</f>
        <v/>
      </c>
      <c r="AZ44" s="0">
        <f>SUM(AT40,AU40,AV40,AW40)</f>
        <v/>
      </c>
      <c r="BA44" s="0">
        <f>AZ45-AZ44</f>
        <v/>
      </c>
      <c r="BB44" s="0">
        <f>IF(AND(BB42&gt;BB41,BB43),2.5,IF(AND(BB41&gt;BB42,BB43),1.5,IF(AND(BB43&gt;BB41,BB42),3.5)))</f>
        <v/>
      </c>
      <c r="BC44" s="201" t="n">
        <v>0</v>
      </c>
      <c r="BD44" s="202" t="inlineStr">
        <is>
          <t>:</t>
        </is>
      </c>
      <c r="BE44" s="203" t="n">
        <v>1</v>
      </c>
      <c r="BF44" s="0">
        <f>POISSON(BC44,$C$16,FALSE)*POISSON(BE44,$D$16,FALSE)</f>
        <v/>
      </c>
      <c r="BG44" s="0">
        <f>RANK(BF44,$BF$43:$BF$74,0)</f>
        <v/>
      </c>
      <c r="BH44" s="0">
        <f>IF(BG43=1,"draw",IF(BG44=1,"away",IF(BG45=1,"draw 1-1",IF(BG46=1,"home",IF(BG47=1,"away 0-2",IF(BG48=1,"away 1-2",IF(BG49=1,"home 2-1","rountime")))))))</f>
        <v/>
      </c>
      <c r="BI44" s="0">
        <f>IF(OR(BH44="away",BH44="home",BH44="draw"),"small",IF(OR(BH44="away",BH44="home",BH44="draw",BH44="draw 1-1",BH44="away 0-2"),"under",IF(BH44="rountime","RT",0)))</f>
        <v/>
      </c>
      <c r="BJ44" s="0">
        <f>0</f>
        <v/>
      </c>
      <c r="BK44" s="0">
        <f>POISSON(BJ44,$C$16,FALSE)</f>
        <v/>
      </c>
      <c r="BL44" s="0">
        <f>BK44*$BL$43</f>
        <v/>
      </c>
      <c r="BM44" s="0">
        <f>BK44*$BM$43</f>
        <v/>
      </c>
      <c r="BN44" s="0">
        <f>BK44*$BN$43</f>
        <v/>
      </c>
      <c r="BO44" s="0">
        <f>BK44*$BO$43</f>
        <v/>
      </c>
      <c r="BP44" s="0">
        <f>BK44*$BP$43</f>
        <v/>
      </c>
      <c r="BQ44" s="0">
        <f>BK44*$BQ$43</f>
        <v/>
      </c>
      <c r="BR44" s="192">
        <f>SUM(BP44:BQ47,BQ48,BO44,BO45,BO46,BN45,BN44,BM44)*100</f>
        <v/>
      </c>
      <c r="BT44" s="0" t="n">
        <v>0.5</v>
      </c>
      <c r="BU44" s="0">
        <f>BL44</f>
        <v/>
      </c>
      <c r="BV44" s="0">
        <f>SUM(BM44:BQ49,BL45:BL49)</f>
        <v/>
      </c>
      <c r="BW44" s="0">
        <f>SUM(BL44:BQ49)</f>
        <v/>
      </c>
      <c r="BX44" s="0">
        <f>BX43+1</f>
        <v/>
      </c>
      <c r="BY44" s="0">
        <f>SUM(BS40,BT40,BU40,BV40)</f>
        <v/>
      </c>
      <c r="BZ44" s="0">
        <f>BY45-BY44</f>
        <v/>
      </c>
      <c r="CA44" s="0">
        <f>IF(AND(CA42&gt;CA41,CA43),2.5,IF(AND(CA41&gt;CA42,CA43),1.5,IF(AND(CA43&gt;CA41,CA42),3.5)))</f>
        <v/>
      </c>
      <c r="CB44" s="201" t="n">
        <v>0</v>
      </c>
      <c r="CC44" s="202" t="inlineStr">
        <is>
          <t>:</t>
        </is>
      </c>
      <c r="CD44" s="203" t="n">
        <v>1</v>
      </c>
      <c r="CE44" s="0">
        <f>POISSON(CB44,$C$17,FALSE)*POISSON(CD44,$D$17,FALSE)</f>
        <v/>
      </c>
      <c r="CF44" s="0">
        <f>RANK(CE44,$CE$43:$CE$74,0)</f>
        <v/>
      </c>
      <c r="CG44" s="0">
        <f>IF(CF43=1,"draw",IF(CF44=1,"away",IF(CF45=1,"draw 1-1",IF(CF46=1,"home",IF(CF47=1,"away 0-2",IF(CF48=1,"away 1-2",IF(CF49=1,"home 2-1","rountime")))))))</f>
        <v/>
      </c>
      <c r="CH44" s="0">
        <f>IF(OR(CG44="away",CG44="home",CG44="draw"),"small",IF(OR(CG44="away",CG44="home",CG44="draw",CG44="draw 1-1",CG44="away 0-2"),"under",IF(CG44="rountime","RT",0)))</f>
        <v/>
      </c>
      <c r="CI44" s="0">
        <f>0</f>
        <v/>
      </c>
      <c r="CJ44" s="0">
        <f>POISSON(CI44,$C$17,FALSE)</f>
        <v/>
      </c>
      <c r="CK44" s="0">
        <f>CJ44*$CK$43</f>
        <v/>
      </c>
      <c r="CL44" s="0">
        <f>CJ44*$CL$43</f>
        <v/>
      </c>
      <c r="CM44" s="0">
        <f>CJ44*$CM$43</f>
        <v/>
      </c>
      <c r="CN44" s="0">
        <f>CJ44*$CN$43</f>
        <v/>
      </c>
      <c r="CO44" s="0">
        <f>CJ44*$CO$43</f>
        <v/>
      </c>
      <c r="CP44" s="0">
        <f>CJ44*$CP$43</f>
        <v/>
      </c>
      <c r="CQ44" s="192">
        <f>SUM(CO44:CP47,CP48,CN44,CN45,CN46,CM45,CM44,CL44)*100</f>
        <v/>
      </c>
      <c r="CS44" s="0" t="n">
        <v>0.5</v>
      </c>
      <c r="CT44" s="0">
        <f>CK44</f>
        <v/>
      </c>
      <c r="CU44" s="0">
        <f>SUM(CL44:CP49,CK45:CK49)</f>
        <v/>
      </c>
      <c r="CV44" s="0">
        <f>SUM(CK44:CP49)</f>
        <v/>
      </c>
      <c r="CW44" s="0">
        <f>CW43+1</f>
        <v/>
      </c>
      <c r="CX44" s="0">
        <f>SUM(CR40,CS40,CT40,CU40)</f>
        <v/>
      </c>
      <c r="CY44" s="0">
        <f>CX45-CX44</f>
        <v/>
      </c>
      <c r="CZ44" s="0">
        <f>IF(AND(CZ42&gt;CZ41,CZ43),2.5,IF(AND(CZ41&gt;CZ42,CZ43),1.5,IF(AND(CZ43&gt;CZ41,CZ42),3.5)))</f>
        <v/>
      </c>
      <c r="DA44" s="201" t="n">
        <v>0</v>
      </c>
      <c r="DB44" s="202" t="inlineStr">
        <is>
          <t>:</t>
        </is>
      </c>
      <c r="DC44" s="203" t="n">
        <v>1</v>
      </c>
      <c r="DD44" s="0">
        <f>POISSON(DA44,$C$18,FALSE)*POISSON(DC44,$D$18,FALSE)</f>
        <v/>
      </c>
      <c r="DE44" s="0">
        <f>RANK(DD44,$DD$43:$DD$74,0)</f>
        <v/>
      </c>
      <c r="DF44" s="0">
        <f>IF(DE43=1,"draw",IF(DE44=1,"away",IF(DE45=1,"draw 1-1",IF(DE46=1,"home",IF(DE47=1,"away 0-2",IF(DE48=1,"away 1-2",IF(DE49=1,"home 2-1","rountime")))))))</f>
        <v/>
      </c>
      <c r="DG44" s="0">
        <f>IF(OR(DF44="away",DF44="home",DF44="draw"),"small",IF(OR(DF44="away",DF44="home",DF44="draw",DF44="draw 1-1",DF44="away 0-2"),"under",IF(DF44="rountime","RT",0)))</f>
        <v/>
      </c>
      <c r="DH44" s="0">
        <f>0</f>
        <v/>
      </c>
      <c r="DI44" s="0">
        <f>POISSON(DH44,$C$18,FALSE)</f>
        <v/>
      </c>
      <c r="DJ44" s="0">
        <f>DI44*$DJ$43</f>
        <v/>
      </c>
      <c r="DK44" s="0">
        <f>DI44*$DK$43</f>
        <v/>
      </c>
      <c r="DL44" s="0">
        <f>DI44*$DL$43</f>
        <v/>
      </c>
      <c r="DM44" s="0">
        <f>DI44*$DM$43</f>
        <v/>
      </c>
      <c r="DN44" s="0">
        <f>DI44*$DN$43</f>
        <v/>
      </c>
      <c r="DO44" s="0">
        <f>DI44*$DO$43</f>
        <v/>
      </c>
      <c r="DP44" s="192">
        <f>SUM(DN44:DO47,DO48,DM44,DM45,DM46,DL45,DL44,DK44)*100</f>
        <v/>
      </c>
      <c r="DR44" s="0" t="n">
        <v>0.5</v>
      </c>
      <c r="DS44" s="0">
        <f>DJ44</f>
        <v/>
      </c>
      <c r="DT44" s="0">
        <f>SUM(DK44:DO49,DJ45:DJ49)</f>
        <v/>
      </c>
      <c r="DU44" s="0">
        <f>SUM(DJ44:DO49)</f>
        <v/>
      </c>
      <c r="DV44" s="0">
        <f>DV43+1</f>
        <v/>
      </c>
      <c r="DW44" s="0">
        <f>SUM(DQ40,DR40,DS40,DT40)</f>
        <v/>
      </c>
      <c r="DX44" s="0">
        <f>DW45-DW44</f>
        <v/>
      </c>
      <c r="DY44" s="0">
        <f>IF(AND(DY42&gt;DY41,DY43),2.5,IF(AND(DY41&gt;DY42,DY43),1.5,IF(AND(DY43&gt;DY41,DY42),3.5)))</f>
        <v/>
      </c>
    </row>
    <row r="45" ht="15.75" customHeight="1" s="276">
      <c r="E45" s="201" t="n">
        <v>1</v>
      </c>
      <c r="F45" s="202" t="inlineStr">
        <is>
          <t>:</t>
        </is>
      </c>
      <c r="G45" s="203" t="n">
        <v>1</v>
      </c>
      <c r="H45" s="0">
        <f>POISSON(E45,$C$14,FALSE)*POISSON(G45,$D$14,FALSE)</f>
        <v/>
      </c>
      <c r="I45" s="0">
        <f>RANK(H45,$H$43:$H$74,0)</f>
        <v/>
      </c>
      <c r="J45" s="0">
        <f>IF(I43=2,"draw",IF(I44=2,"away",IF(I45=2,"draw 1-1",IF(I46=2,"home",IF(I47=2,"away 0-2",IF(I48=2,"away 1-2",IF(I49=2,"home 2-1","rountime")))))))</f>
        <v/>
      </c>
      <c r="K45" s="0">
        <f>IF(OR(J45="away",J45="home",J45="draw"),"small",IF(OR(J45="away",J45="home",J45="draw",J45="draw 1-1",J45="away 0-2"),"under",IF(J45="rountime","RT",0)))</f>
        <v/>
      </c>
      <c r="L45" s="0">
        <f>L44+1</f>
        <v/>
      </c>
      <c r="M45" s="0">
        <f>POISSON(L45,$C$14,FALSE)</f>
        <v/>
      </c>
      <c r="N45" s="0">
        <f>M45*$N$43</f>
        <v/>
      </c>
      <c r="O45" s="0">
        <f>M45*$O$43</f>
        <v/>
      </c>
      <c r="P45" s="0">
        <f>M45*$P$43</f>
        <v/>
      </c>
      <c r="Q45" s="0">
        <f>M45*$Q$43</f>
        <v/>
      </c>
      <c r="R45" s="0">
        <f>M45*$R$43</f>
        <v/>
      </c>
      <c r="S45" s="0">
        <f>M45*$S$43</f>
        <v/>
      </c>
      <c r="V45" s="0">
        <f>V44+1</f>
        <v/>
      </c>
      <c r="W45" s="0">
        <f>SUM(N44,O44,N45)</f>
        <v/>
      </c>
      <c r="X45" s="0">
        <f>$Y$44-W45</f>
        <v/>
      </c>
      <c r="Z45" s="196">
        <f>Z44+1</f>
        <v/>
      </c>
      <c r="AA45" s="196" t="n">
        <v>99.67159358760819</v>
      </c>
      <c r="AD45" s="201" t="n">
        <v>1</v>
      </c>
      <c r="AE45" s="202" t="inlineStr">
        <is>
          <t>:</t>
        </is>
      </c>
      <c r="AF45" s="203" t="n">
        <v>1</v>
      </c>
      <c r="AG45" s="0">
        <f>POISSON(AD45,$C$15,FALSE)*POISSON(AF45,$D$15,FALSE)</f>
        <v/>
      </c>
      <c r="AH45" s="0">
        <f>RANK(AG45,$AG$43:$AG$74,0)</f>
        <v/>
      </c>
      <c r="AI45" s="0">
        <f>IF(AH43=2,"draw",IF(AH44=2,"away",IF(AH45=2,"draw 1-1",IF(AH46=2,"home",IF(AH47=2,"away 0-2",IF(AH48=2,"away 1-2",IF(AH49=2,"home 2-1","rountime")))))))</f>
        <v/>
      </c>
      <c r="AJ45" s="0">
        <f>IF(OR(AI45="away",AI45="home",AI45="draw"),"small",IF(OR(AI45="away",AI45="home",AI45="draw",AI45="draw 1-1",AI45="away 0-2"),"under",IF(AI45="rountime","RT",0)))</f>
        <v/>
      </c>
      <c r="AK45" s="0">
        <f>AK44+1</f>
        <v/>
      </c>
      <c r="AL45" s="0">
        <f>POISSON(AK45,$C$15,FALSE)</f>
        <v/>
      </c>
      <c r="AM45" s="0">
        <f>AL45*$AM$43</f>
        <v/>
      </c>
      <c r="AN45" s="0">
        <f>AL45*$AN$43</f>
        <v/>
      </c>
      <c r="AO45" s="0">
        <f>AL45*$AO$43</f>
        <v/>
      </c>
      <c r="AP45" s="0">
        <f>AL45*$AP$43</f>
        <v/>
      </c>
      <c r="AQ45" s="0">
        <f>AL45*$AQ$43</f>
        <v/>
      </c>
      <c r="AR45" s="0">
        <f>AL45*$AR$43</f>
        <v/>
      </c>
      <c r="AU45" s="0">
        <f>AU44+1</f>
        <v/>
      </c>
      <c r="AV45" s="0">
        <f>SUM(AM44,AN44,AM45)</f>
        <v/>
      </c>
      <c r="AW45" s="0">
        <f>AX44-AV45</f>
        <v/>
      </c>
      <c r="AY45" s="0">
        <f>AY44+1</f>
        <v/>
      </c>
      <c r="AZ45" s="0">
        <f>SUM(AT40,AU40,AV40,AW40,AX40)</f>
        <v/>
      </c>
      <c r="BC45" s="201" t="n">
        <v>1</v>
      </c>
      <c r="BD45" s="202" t="inlineStr">
        <is>
          <t>:</t>
        </is>
      </c>
      <c r="BE45" s="203" t="n">
        <v>1</v>
      </c>
      <c r="BF45" s="0">
        <f>POISSON(BC45,$C$16,FALSE)*POISSON(BE45,$D$16,FALSE)</f>
        <v/>
      </c>
      <c r="BG45" s="0">
        <f>RANK(BF45,$BF$43:$BF$74,0)</f>
        <v/>
      </c>
      <c r="BH45" s="0">
        <f>IF(BG43=2,"draw",IF(BG44=2,"away",IF(BG45=2,"draw 1-1",IF(BG46=2,"home",IF(BG47=2,"away 0-2",IF(BG48=2,"away 1-2",IF(BG49=2,"home 2-1","rountime")))))))</f>
        <v/>
      </c>
      <c r="BI45" s="0">
        <f>IF(OR(BH45="away",BH45="home",BH45="draw"),"small",IF(OR(BH45="away",BH45="home",BH45="draw",BH45="draw 1-1",BH45="away 0-2"),"under",IF(BH45="rountime","RT",0)))</f>
        <v/>
      </c>
      <c r="BJ45" s="0">
        <f>BJ44+1</f>
        <v/>
      </c>
      <c r="BK45" s="0">
        <f>POISSON(BJ45,$C$16,FALSE)</f>
        <v/>
      </c>
      <c r="BL45" s="0">
        <f>BK45*$BL$43</f>
        <v/>
      </c>
      <c r="BM45" s="0">
        <f>BK45*$BM$43</f>
        <v/>
      </c>
      <c r="BN45" s="0">
        <f>BK45*$BN$43</f>
        <v/>
      </c>
      <c r="BO45" s="0">
        <f>BK45*$BO$43</f>
        <v/>
      </c>
      <c r="BP45" s="0">
        <f>BK45*$BP$43</f>
        <v/>
      </c>
      <c r="BQ45" s="0">
        <f>BK45*$BQ$43</f>
        <v/>
      </c>
      <c r="BT45" s="0">
        <f>BT44+1</f>
        <v/>
      </c>
      <c r="BU45" s="0">
        <f>SUM(BL44,BM44,BL45)</f>
        <v/>
      </c>
      <c r="BV45" s="0">
        <f>BW44-BU45</f>
        <v/>
      </c>
      <c r="BX45" s="0">
        <f>BX44+1</f>
        <v/>
      </c>
      <c r="BY45" s="0">
        <f>SUM(BS40,BT40,BU40,BV40,BW40)</f>
        <v/>
      </c>
      <c r="CB45" s="201" t="n">
        <v>1</v>
      </c>
      <c r="CC45" s="202" t="inlineStr">
        <is>
          <t>:</t>
        </is>
      </c>
      <c r="CD45" s="203" t="n">
        <v>1</v>
      </c>
      <c r="CE45" s="0">
        <f>POISSON(CB45,$C$17,FALSE)*POISSON(CD45,$D$17,FALSE)</f>
        <v/>
      </c>
      <c r="CF45" s="0">
        <f>RANK(CE45,$CE$43:$CE$74,0)</f>
        <v/>
      </c>
      <c r="CG45" s="0">
        <f>IF(CF43=2,"draw",IF(CF44=2,"away",IF(CF45=2,"draw 1-1",IF(CF46=2,"home",IF(CF47=2,"away 0-2",IF(CF48=2,"away 1-2",IF(CF49=2,"home 2-1","rountime")))))))</f>
        <v/>
      </c>
      <c r="CH45" s="0">
        <f>IF(OR(CG45="away",CG45="home",CG45="draw"),"small",IF(OR(CG45="away",CG45="home",CG45="draw",CG45="draw 1-1",CG45="away 0-2"),"under",IF(CG45="rountime","RT",0)))</f>
        <v/>
      </c>
      <c r="CI45" s="0">
        <f>CI44+1</f>
        <v/>
      </c>
      <c r="CJ45" s="0">
        <f>POISSON(CI45,$C$17,FALSE)</f>
        <v/>
      </c>
      <c r="CK45" s="0">
        <f>CJ45*$CK$43</f>
        <v/>
      </c>
      <c r="CL45" s="0">
        <f>CJ45*$CL$43</f>
        <v/>
      </c>
      <c r="CM45" s="0">
        <f>CJ45*$CM$43</f>
        <v/>
      </c>
      <c r="CN45" s="0">
        <f>CJ45*$CN$43</f>
        <v/>
      </c>
      <c r="CO45" s="0">
        <f>CJ45*$CO$43</f>
        <v/>
      </c>
      <c r="CP45" s="0">
        <f>CJ45*$CP$43</f>
        <v/>
      </c>
      <c r="CS45" s="0">
        <f>CS44+1</f>
        <v/>
      </c>
      <c r="CT45" s="0">
        <f>SUM(CK44,CL44,CK45)</f>
        <v/>
      </c>
      <c r="CU45" s="0">
        <f>CV44-CT45</f>
        <v/>
      </c>
      <c r="CW45" s="0">
        <f>CW44+1</f>
        <v/>
      </c>
      <c r="CX45" s="0">
        <f>SUM(CR40,CS40,CT40,CU40,CV40)</f>
        <v/>
      </c>
      <c r="DA45" s="201" t="n">
        <v>1</v>
      </c>
      <c r="DB45" s="202" t="inlineStr">
        <is>
          <t>:</t>
        </is>
      </c>
      <c r="DC45" s="203" t="n">
        <v>1</v>
      </c>
      <c r="DD45" s="0">
        <f>POISSON(DA45,$C$18,FALSE)*POISSON(DC45,$D$18,FALSE)</f>
        <v/>
      </c>
      <c r="DE45" s="0">
        <f>RANK(DD45,$DD$43:$DD$74,0)</f>
        <v/>
      </c>
      <c r="DF45" s="0">
        <f>IF(DE43=2,"draw",IF(DE44=2,"away",IF(DE45=2,"draw 1-1",IF(DE46=2,"home",IF(DE47=2,"away 0-2",IF(DE48=2,"away 1-2",IF(DE49=2,"home 2-1","rountime")))))))</f>
        <v/>
      </c>
      <c r="DG45" s="0">
        <f>IF(OR(DF45="away",DF45="home",DF45="draw"),"small",IF(OR(DF45="away",DF45="home",DF45="draw",DF45="draw 1-1",DF45="away 0-2"),"under",IF(DF45="rountime","RT",0)))</f>
        <v/>
      </c>
      <c r="DH45" s="0">
        <f>DH44+1</f>
        <v/>
      </c>
      <c r="DI45" s="0">
        <f>POISSON(DH45,$C$18,FALSE)</f>
        <v/>
      </c>
      <c r="DJ45" s="0">
        <f>DI45*$DJ$43</f>
        <v/>
      </c>
      <c r="DK45" s="0">
        <f>DI45*$DK$43</f>
        <v/>
      </c>
      <c r="DL45" s="0">
        <f>DI45*$DL$43</f>
        <v/>
      </c>
      <c r="DM45" s="0">
        <f>DI45*$DM$43</f>
        <v/>
      </c>
      <c r="DN45" s="0">
        <f>DI45*$DN$43</f>
        <v/>
      </c>
      <c r="DO45" s="0">
        <f>DI45*$DO$43</f>
        <v/>
      </c>
      <c r="DR45" s="0">
        <f>DR44+1</f>
        <v/>
      </c>
      <c r="DS45" s="0">
        <f>SUM(DJ44,DK44,DJ45)</f>
        <v/>
      </c>
      <c r="DT45" s="0">
        <f>DU44-DS45</f>
        <v/>
      </c>
      <c r="DV45" s="0">
        <f>DV44+1</f>
        <v/>
      </c>
      <c r="DW45" s="0">
        <f>SUM(DQ40,DR40,DS40,DT40,DU40)</f>
        <v/>
      </c>
    </row>
    <row r="46" ht="15.75" customHeight="1" s="276">
      <c r="E46" s="201" t="n">
        <v>1</v>
      </c>
      <c r="F46" s="202" t="inlineStr">
        <is>
          <t>:</t>
        </is>
      </c>
      <c r="G46" s="203" t="n">
        <v>0</v>
      </c>
      <c r="H46" s="0">
        <f>POISSON(E46,$C$14,FALSE)*POISSON(G46,$D$14,FALSE)</f>
        <v/>
      </c>
      <c r="I46" s="0">
        <f>RANK(H46,$H$43:$H$74,0)</f>
        <v/>
      </c>
      <c r="J46" s="0">
        <f>IF(I43=3,"draw",IF(I44=3,"away",IF(I45=3,"draw 1-1",IF(I46=3,"home",IF(I47=3,"away 0-2",IF(I48=3,"away 1-2",IF(I49=3,"home 2-1","rountime")))))))</f>
        <v/>
      </c>
      <c r="K46" s="0">
        <f>IF(OR(J46="away",J46="home",J46="draw"),"small",IF(OR(J46="away",J46="home",J46="draw",J46="draw 1-1",J46="away 0-2"),"under",IF(J46="rountime","RT",0)))</f>
        <v/>
      </c>
      <c r="L46" s="0">
        <f>L45+1</f>
        <v/>
      </c>
      <c r="M46" s="0">
        <f>POISSON(L46,$C$14,FALSE)</f>
        <v/>
      </c>
      <c r="N46" s="0">
        <f>M46*$N$43</f>
        <v/>
      </c>
      <c r="O46" s="0">
        <f>M46*$O$43</f>
        <v/>
      </c>
      <c r="P46" s="0">
        <f>M46*$P$43</f>
        <v/>
      </c>
      <c r="Q46" s="0">
        <f>M46*$Q$43</f>
        <v/>
      </c>
      <c r="R46" s="0">
        <f>M46*$R$43</f>
        <v/>
      </c>
      <c r="S46" s="0">
        <f>M46*$S$43</f>
        <v/>
      </c>
      <c r="T46" s="234">
        <f>IF(T2&lt;0.6,"low",IF(T2&lt;1.38,"medium","high"))</f>
        <v/>
      </c>
      <c r="V46" s="0">
        <f>V45+1</f>
        <v/>
      </c>
      <c r="W46" s="0">
        <f>SUM(N44,O44,N45,N46,O45,P44)</f>
        <v/>
      </c>
      <c r="X46" s="0">
        <f>$Y$44-W46</f>
        <v/>
      </c>
      <c r="Z46" s="196" t="inlineStr">
        <is>
          <t xml:space="preserve">remain </t>
        </is>
      </c>
      <c r="AA46" s="196">
        <f>Z40-AA45</f>
        <v/>
      </c>
      <c r="AD46" s="201" t="n">
        <v>1</v>
      </c>
      <c r="AE46" s="202" t="inlineStr">
        <is>
          <t>:</t>
        </is>
      </c>
      <c r="AF46" s="203" t="n">
        <v>0</v>
      </c>
      <c r="AG46" s="0">
        <f>POISSON(AD46,$C$15,FALSE)*POISSON(AF46,$D$15,FALSE)</f>
        <v/>
      </c>
      <c r="AH46" s="0">
        <f>RANK(AG46,$AG$43:$AG$74,0)</f>
        <v/>
      </c>
      <c r="AI46" s="0">
        <f>IF(AH43=3,"draw",IF(AH44=3,"away",IF(AH45=3,"draw 1-1",IF(AH46=3,"home",IF(AH47=3,"away 0-2",IF(AH48=3,"away 1-2",IF(AH49=3,"home 2-1","rountime")))))))</f>
        <v/>
      </c>
      <c r="AJ46" s="0">
        <f>IF(OR(AI46="away",AI46="home",AI46="draw"),"small",IF(OR(AI46="away",AI46="home",AI46="draw",AI46="draw 1-1",AI46="away 0-2"),"under",IF(AI46="rountime","RT",0)))</f>
        <v/>
      </c>
      <c r="AK46" s="0">
        <f>AK45+1</f>
        <v/>
      </c>
      <c r="AL46" s="0">
        <f>POISSON(AK46,$C$15,FALSE)</f>
        <v/>
      </c>
      <c r="AM46" s="0">
        <f>AL46*$AM$43</f>
        <v/>
      </c>
      <c r="AN46" s="0">
        <f>AL46*$AN$43</f>
        <v/>
      </c>
      <c r="AO46" s="0">
        <f>AL46*$AO$43</f>
        <v/>
      </c>
      <c r="AP46" s="0">
        <f>AL46*$AP$43</f>
        <v/>
      </c>
      <c r="AQ46" s="0">
        <f>AL46*$AQ$43</f>
        <v/>
      </c>
      <c r="AR46" s="0">
        <f>AL46*$AR$43</f>
        <v/>
      </c>
      <c r="AS46" s="234">
        <f>IF(AS2&lt;0.6,"low",IF(AS2&lt;1.38,"medium","high"))</f>
        <v/>
      </c>
      <c r="AU46" s="0">
        <f>AU45+1</f>
        <v/>
      </c>
      <c r="AV46" s="0">
        <f>SUM(AM44,AN44,AM45,AM46,AN45,AO44)</f>
        <v/>
      </c>
      <c r="AW46" s="0">
        <f>AX44-AV46</f>
        <v/>
      </c>
      <c r="AY46" s="0" t="inlineStr">
        <is>
          <t xml:space="preserve">remain </t>
        </is>
      </c>
      <c r="AZ46" s="0">
        <f>AY40-AZ45</f>
        <v/>
      </c>
      <c r="BC46" s="201" t="n">
        <v>1</v>
      </c>
      <c r="BD46" s="202" t="inlineStr">
        <is>
          <t>:</t>
        </is>
      </c>
      <c r="BE46" s="203" t="n">
        <v>0</v>
      </c>
      <c r="BF46" s="0">
        <f>POISSON(BC46,$C$16,FALSE)*POISSON(BE46,$D$16,FALSE)</f>
        <v/>
      </c>
      <c r="BG46" s="0">
        <f>RANK(BF46,$BF$43:$BF$74,0)</f>
        <v/>
      </c>
      <c r="BH46" s="0">
        <f>IF(BG43=3,"draw",IF(BG44=3,"away",IF(BG45=3,"draw 1-1",IF(BG46=3,"home",IF(BG47=3,"away 0-2",IF(BG48=3,"away 1-2",IF(BG49=3,"home 2-1","rountime")))))))</f>
        <v/>
      </c>
      <c r="BI46" s="0">
        <f>IF(OR(BH46="away",BH46="home",BH46="draw"),"small",IF(OR(BH46="away",BH46="home",BH46="draw",BH46="draw 1-1",BH46="away 0-2"),"under",IF(BH46="rountime","RT",0)))</f>
        <v/>
      </c>
      <c r="BJ46" s="0">
        <f>BJ45+1</f>
        <v/>
      </c>
      <c r="BK46" s="0">
        <f>POISSON(BJ46,$C$16,FALSE)</f>
        <v/>
      </c>
      <c r="BL46" s="0">
        <f>BK46*$BL$43</f>
        <v/>
      </c>
      <c r="BM46" s="0">
        <f>BK46*$BM$43</f>
        <v/>
      </c>
      <c r="BN46" s="0">
        <f>BK46*$BN$43</f>
        <v/>
      </c>
      <c r="BO46" s="0">
        <f>BK46*$BO$43</f>
        <v/>
      </c>
      <c r="BP46" s="0">
        <f>BK46*$BP$43</f>
        <v/>
      </c>
      <c r="BQ46" s="0">
        <f>BK46*$BQ$43</f>
        <v/>
      </c>
      <c r="BR46" s="234">
        <f>IF(BR2&lt;0.6,"low",IF(BR2&lt;1.38,"medium","high"))</f>
        <v/>
      </c>
      <c r="BT46" s="0">
        <f>BT45+1</f>
        <v/>
      </c>
      <c r="BU46" s="0">
        <f>SUM(BL44,BM44,BL45,BL46,BM45,BN44)</f>
        <v/>
      </c>
      <c r="BV46" s="0">
        <f>BW44-BU46</f>
        <v/>
      </c>
      <c r="BX46" s="0" t="inlineStr">
        <is>
          <t xml:space="preserve">remain </t>
        </is>
      </c>
      <c r="BY46" s="0">
        <f>BX40-BY45</f>
        <v/>
      </c>
      <c r="CB46" s="201" t="n">
        <v>1</v>
      </c>
      <c r="CC46" s="202" t="inlineStr">
        <is>
          <t>:</t>
        </is>
      </c>
      <c r="CD46" s="203" t="n">
        <v>0</v>
      </c>
      <c r="CE46" s="0">
        <f>POISSON(CB46,$C$17,FALSE)*POISSON(CD46,$D$17,FALSE)</f>
        <v/>
      </c>
      <c r="CF46" s="0">
        <f>RANK(CE46,$CE$43:$CE$74,0)</f>
        <v/>
      </c>
      <c r="CG46" s="0">
        <f>IF(CF43=3,"draw",IF(CF44=3,"away",IF(CF45=3,"draw 1-1",IF(CF46=3,"home",IF(CF47=3,"away 0-2",IF(CF48=3,"away 1-2",IF(CF49=3,"home 2-1","rountime")))))))</f>
        <v/>
      </c>
      <c r="CH46" s="0">
        <f>IF(OR(CG46="away",CG46="home",CG46="draw"),"small",IF(OR(CG46="away",CG46="home",CG46="draw",CG46="draw 1-1",CG46="away 0-2"),"under",IF(CG46="rountime","RT",0)))</f>
        <v/>
      </c>
      <c r="CI46" s="0">
        <f>CI45+1</f>
        <v/>
      </c>
      <c r="CJ46" s="0">
        <f>POISSON(CI46,$C$17,FALSE)</f>
        <v/>
      </c>
      <c r="CK46" s="0">
        <f>CJ46*$CK$43</f>
        <v/>
      </c>
      <c r="CL46" s="0">
        <f>CJ46*$CL$43</f>
        <v/>
      </c>
      <c r="CM46" s="0">
        <f>CJ46*$CM$43</f>
        <v/>
      </c>
      <c r="CN46" s="0">
        <f>CJ46*$CN$43</f>
        <v/>
      </c>
      <c r="CO46" s="0">
        <f>CJ46*$CO$43</f>
        <v/>
      </c>
      <c r="CP46" s="0">
        <f>CJ46*$CP$43</f>
        <v/>
      </c>
      <c r="CQ46" s="234">
        <f>IF(CQ2&lt;0.6,"low",IF(CQ2&lt;1.38,"medium","high"))</f>
        <v/>
      </c>
      <c r="CS46" s="0">
        <f>CS45+1</f>
        <v/>
      </c>
      <c r="CT46" s="0">
        <f>SUM(CK44,CL44,CK45,CK46,CL45,CM44)</f>
        <v/>
      </c>
      <c r="CU46" s="0">
        <f>CV44-CT46</f>
        <v/>
      </c>
      <c r="CW46" s="0" t="inlineStr">
        <is>
          <t xml:space="preserve">remain </t>
        </is>
      </c>
      <c r="CX46" s="0">
        <f>CW40-CX45</f>
        <v/>
      </c>
      <c r="DA46" s="201" t="n">
        <v>1</v>
      </c>
      <c r="DB46" s="202" t="inlineStr">
        <is>
          <t>:</t>
        </is>
      </c>
      <c r="DC46" s="203" t="n">
        <v>0</v>
      </c>
      <c r="DD46" s="0">
        <f>POISSON(DA46,$C$18,FALSE)*POISSON(DC46,$D$18,FALSE)</f>
        <v/>
      </c>
      <c r="DE46" s="0">
        <f>RANK(DD46,$DD$43:$DD$74,0)</f>
        <v/>
      </c>
      <c r="DF46" s="0">
        <f>IF(DE43=3,"draw",IF(DE44=3,"away",IF(DE45=3,"draw 1-1",IF(DE46=3,"home",IF(DE47=3,"away 0-2",IF(DE48=3,"away 1-2",IF(DE49=3,"home 2-1","rountime")))))))</f>
        <v/>
      </c>
      <c r="DG46" s="0">
        <f>IF(OR(DF46="away",DF46="home",DF46="draw"),"small",IF(OR(DF46="away",DF46="home",DF46="draw",DF46="draw 1-1",DF46="away 0-2"),"under",IF(DF46="rountime","RT",0)))</f>
        <v/>
      </c>
      <c r="DH46" s="0">
        <f>DH45+1</f>
        <v/>
      </c>
      <c r="DI46" s="0">
        <f>POISSON(DH46,$C$18,FALSE)</f>
        <v/>
      </c>
      <c r="DJ46" s="0">
        <f>DI46*$DJ$43</f>
        <v/>
      </c>
      <c r="DK46" s="0">
        <f>DI46*$DK$43</f>
        <v/>
      </c>
      <c r="DL46" s="0">
        <f>DI46*$DL$43</f>
        <v/>
      </c>
      <c r="DM46" s="0">
        <f>DI46*$DM$43</f>
        <v/>
      </c>
      <c r="DN46" s="0">
        <f>DI46*$DN$43</f>
        <v/>
      </c>
      <c r="DO46" s="0">
        <f>DI46*$DO$43</f>
        <v/>
      </c>
      <c r="DP46" s="234">
        <f>IF(DP2&lt;0.6,"low",IF(DP2&lt;1.38,"medium","high"))</f>
        <v/>
      </c>
      <c r="DR46" s="0">
        <f>DR45+1</f>
        <v/>
      </c>
      <c r="DS46" s="0">
        <f>SUM(DJ44,DK44,DJ45,DJ46,DK45,DL44)</f>
        <v/>
      </c>
      <c r="DT46" s="0">
        <f>DU44-DS46</f>
        <v/>
      </c>
      <c r="DV46" s="0" t="inlineStr">
        <is>
          <t xml:space="preserve">remain </t>
        </is>
      </c>
      <c r="DW46" s="0">
        <f>DV40-DW45</f>
        <v/>
      </c>
    </row>
    <row r="47" ht="15.75" customHeight="1" s="276">
      <c r="E47" s="201" t="n">
        <v>0</v>
      </c>
      <c r="F47" s="202" t="inlineStr">
        <is>
          <t>:</t>
        </is>
      </c>
      <c r="G47" s="203" t="n">
        <v>2</v>
      </c>
      <c r="H47" s="0">
        <f>POISSON(E47,$C$14,FALSE)*POISSON(G47,$D$14,FALSE)</f>
        <v/>
      </c>
      <c r="I47" s="0">
        <f>RANK(H47,$H$43:$H$74,0)</f>
        <v/>
      </c>
      <c r="J47" s="0">
        <f>IF(I43=4,"draw",IF(I44=4,"away",IF(I45=4,"draw 1-1",IF(I46=4,"home",IF(I47=4,"away 0-2",IF(I48=4,"away 1-2",IF(I49=4,"home 2-1","rountime")))))))</f>
        <v/>
      </c>
      <c r="K47" s="0">
        <f>IF(OR(J47="away",J47="home",J47="draw"),"small",IF(OR(J47="away",J47="home",J47="draw",J47="draw 1-1",J47="away 0-2"),"under",IF(J47="rountime","RT",0)))</f>
        <v/>
      </c>
      <c r="L47" s="0">
        <f>L46+1</f>
        <v/>
      </c>
      <c r="M47" s="0">
        <f>POISSON(L47,$C$14,FALSE)</f>
        <v/>
      </c>
      <c r="N47" s="0">
        <f>M47*$N$43</f>
        <v/>
      </c>
      <c r="O47" s="0">
        <f>M47*$O$43</f>
        <v/>
      </c>
      <c r="P47" s="0">
        <f>M47*$P$43</f>
        <v/>
      </c>
      <c r="Q47" s="0">
        <f>M47*$Q$43</f>
        <v/>
      </c>
      <c r="R47" s="0">
        <f>M47*$R$43</f>
        <v/>
      </c>
      <c r="S47" s="0">
        <f>M47*$S$43</f>
        <v/>
      </c>
      <c r="T47" s="210">
        <f>IF(W44&gt;0.38,"u0.5",IF(W45&gt;0.352,"U1.5",IF(W46&gt;0.5885,"u2.5",IF(W47&gt;0.6871,"U3.5",IF(W48&gt;0.6993,"u4.5","Run")))))</f>
        <v/>
      </c>
      <c r="U47" s="210">
        <f>IF(X48&gt;0.34,"O4.5",IF(X47&gt;0.6155,"O3.5",IF(X46&gt;0.5063,"O2.5",IF(X45&gt;0.74,"O1.5",IF(X44&gt;0.95,"O0.5","Run")))))</f>
        <v/>
      </c>
      <c r="V47" s="0">
        <f>V46+1</f>
        <v/>
      </c>
      <c r="W47" s="0">
        <f>W46+SUM(Q44,P45,O46,N47)</f>
        <v/>
      </c>
      <c r="X47" s="0">
        <f>$Y$44-W47</f>
        <v/>
      </c>
      <c r="AA47" s="0">
        <f>AVERAGE(AA46,AA8)</f>
        <v/>
      </c>
      <c r="AD47" s="201" t="n">
        <v>0</v>
      </c>
      <c r="AE47" s="202" t="inlineStr">
        <is>
          <t>:</t>
        </is>
      </c>
      <c r="AF47" s="203" t="n">
        <v>2</v>
      </c>
      <c r="AG47" s="0">
        <f>POISSON(AD47,$C$15,FALSE)*POISSON(AF47,$D$15,FALSE)</f>
        <v/>
      </c>
      <c r="AH47" s="0">
        <f>RANK(AG47,$AG$43:$AG$74,0)</f>
        <v/>
      </c>
      <c r="AI47" s="0">
        <f>IF(AH43=4,"draw",IF(AH44=4,"away",IF(AH45=4,"draw 1-1",IF(AH46=4,"home",IF(AH47=4,"away 0-2",IF(AH48=4,"away 1-2",IF(AH49=4,"home 2-1","rountime")))))))</f>
        <v/>
      </c>
      <c r="AJ47" s="0">
        <f>IF(OR(AI47="away",AI47="home",AI47="draw"),"small",IF(OR(AI47="away",AI47="home",AI47="draw",AI47="draw 1-1",AI47="away 0-2"),"under",IF(AI47="rountime","RT",0)))</f>
        <v/>
      </c>
      <c r="AK47" s="0">
        <f>AK46+1</f>
        <v/>
      </c>
      <c r="AL47" s="0">
        <f>POISSON(AK47,$C$15,FALSE)</f>
        <v/>
      </c>
      <c r="AM47" s="0">
        <f>AL47*$AM$43</f>
        <v/>
      </c>
      <c r="AN47" s="0">
        <f>AL47*$AN$43</f>
        <v/>
      </c>
      <c r="AO47" s="0">
        <f>AL47*$AO$43</f>
        <v/>
      </c>
      <c r="AP47" s="0">
        <f>AL47*$AP$43</f>
        <v/>
      </c>
      <c r="AQ47" s="0">
        <f>AL47*$AQ$43</f>
        <v/>
      </c>
      <c r="AR47" s="0">
        <f>AL47*$AR$43</f>
        <v/>
      </c>
      <c r="AS47" s="210">
        <f>IF(AV44&gt;0.38,"u0.5",IF(AV45&gt;0.352,"U1.5",IF(AV46&gt;0.5885,"u2.5",IF(AV47&gt;0.6871,"U3.5",IF(AV48&gt;0.6993,"u4.5","Run")))))</f>
        <v/>
      </c>
      <c r="AT47" s="210">
        <f>IF(AW48&gt;0.34,"O4.5",IF(AW47&gt;0.6155,"O3.5",IF(AW46&gt;0.5063,"O2.5",IF(AW45&gt;0.74,"O1.5",IF(AW44&gt;0.95,"O0.5","Run")))))</f>
        <v/>
      </c>
      <c r="AU47" s="0">
        <f>AU46+1</f>
        <v/>
      </c>
      <c r="AV47" s="0">
        <f>AV46+SUM(AP44,AO45,AN46,AM47)</f>
        <v/>
      </c>
      <c r="AW47" s="0">
        <f>AX44-AV47</f>
        <v/>
      </c>
      <c r="AZ47" s="0">
        <f>AVERAGE(AZ46,AZ8)</f>
        <v/>
      </c>
      <c r="BC47" s="201" t="n">
        <v>0</v>
      </c>
      <c r="BD47" s="202" t="inlineStr">
        <is>
          <t>:</t>
        </is>
      </c>
      <c r="BE47" s="203" t="n">
        <v>2</v>
      </c>
      <c r="BF47" s="0">
        <f>POISSON(BC47,$C$16,FALSE)*POISSON(BE47,$D$16,FALSE)</f>
        <v/>
      </c>
      <c r="BG47" s="0">
        <f>RANK(BF47,$BF$43:$BF$74,0)</f>
        <v/>
      </c>
      <c r="BH47" s="0">
        <f>IF(BG43=4,"draw",IF(BG44=4,"away",IF(BG45=4,"draw 1-1",IF(BG46=4,"home",IF(BG47=4,"away 0-2",IF(BG48=4,"away 1-2",IF(BG49=4,"home 2-1","rountime")))))))</f>
        <v/>
      </c>
      <c r="BI47" s="0">
        <f>IF(OR(BH47="away",BH47="home",BH47="draw"),"small",IF(OR(BH47="away",BH47="home",BH47="draw",BH47="draw 1-1",BH47="away 0-2"),"under",IF(BH47="rountime","RT",0)))</f>
        <v/>
      </c>
      <c r="BJ47" s="0">
        <f>BJ46+1</f>
        <v/>
      </c>
      <c r="BK47" s="0">
        <f>POISSON(BJ47,$C$16,FALSE)</f>
        <v/>
      </c>
      <c r="BL47" s="0">
        <f>BK47*$BL$43</f>
        <v/>
      </c>
      <c r="BM47" s="0">
        <f>BK47*$BM$43</f>
        <v/>
      </c>
      <c r="BN47" s="0">
        <f>BK47*$BN$43</f>
        <v/>
      </c>
      <c r="BO47" s="0">
        <f>BK47*$BO$43</f>
        <v/>
      </c>
      <c r="BP47" s="0">
        <f>BK47*$BP$43</f>
        <v/>
      </c>
      <c r="BQ47" s="0">
        <f>BK47*$BQ$43</f>
        <v/>
      </c>
      <c r="BR47" s="210">
        <f>IF(BU44&gt;0.38,"u0.5",IF(BU45&gt;0.352,"U1.5",IF(BU46&gt;0.5885,"u2.5",IF(BU47&gt;0.6871,"U3.5",IF(BU48&gt;0.6993,"u4.5","Run")))))</f>
        <v/>
      </c>
      <c r="BS47" s="210">
        <f>IF(BV48&gt;0.34,"O4.5",IF(BV47&gt;0.6155,"O3.5",IF(BV46&gt;0.5063,"O2.5",IF(BV45&gt;0.74,"O1.5",IF(BV44&gt;0.95,"O0.5","Run")))))</f>
        <v/>
      </c>
      <c r="BT47" s="0">
        <f>BT46+1</f>
        <v/>
      </c>
      <c r="BU47" s="0">
        <f>BU46+SUM(BO44,BN45,BM46,BL47)</f>
        <v/>
      </c>
      <c r="BV47" s="0">
        <f>BW44-BU47</f>
        <v/>
      </c>
      <c r="BY47" s="0">
        <f>AVERAGE(BY46,BY8)</f>
        <v/>
      </c>
      <c r="CB47" s="201" t="n">
        <v>0</v>
      </c>
      <c r="CC47" s="202" t="inlineStr">
        <is>
          <t>:</t>
        </is>
      </c>
      <c r="CD47" s="203" t="n">
        <v>2</v>
      </c>
      <c r="CE47" s="0">
        <f>POISSON(CB47,$C$17,FALSE)*POISSON(CD47,$D$17,FALSE)</f>
        <v/>
      </c>
      <c r="CF47" s="0">
        <f>RANK(CE47,$CE$43:$CE$74,0)</f>
        <v/>
      </c>
      <c r="CG47" s="0">
        <f>IF(CF43=4,"draw",IF(CF44=4,"away",IF(CF45=4,"draw 1-1",IF(CF46=4,"home",IF(CF47=4,"away 0-2",IF(CF48=4,"away 1-2",IF(CF49=4,"home 2-1","rountime")))))))</f>
        <v/>
      </c>
      <c r="CH47" s="0">
        <f>IF(OR(CG47="away",CG47="home",CG47="draw"),"small",IF(OR(CG47="away",CG47="home",CG47="draw",CG47="draw 1-1",CG47="away 0-2"),"under",IF(CG47="rountime","RT",0)))</f>
        <v/>
      </c>
      <c r="CI47" s="0">
        <f>CI46+1</f>
        <v/>
      </c>
      <c r="CJ47" s="0">
        <f>POISSON(CI47,$C$17,FALSE)</f>
        <v/>
      </c>
      <c r="CK47" s="0">
        <f>CJ47*$CK$43</f>
        <v/>
      </c>
      <c r="CL47" s="0">
        <f>CJ47*$CL$43</f>
        <v/>
      </c>
      <c r="CM47" s="0">
        <f>CJ47*$CM$43</f>
        <v/>
      </c>
      <c r="CN47" s="0">
        <f>CJ47*$CN$43</f>
        <v/>
      </c>
      <c r="CO47" s="0">
        <f>CJ47*$CO$43</f>
        <v/>
      </c>
      <c r="CP47" s="0">
        <f>CJ47*$CP$43</f>
        <v/>
      </c>
      <c r="CQ47" s="210">
        <f>IF(CT44&gt;0.38,"u0.5",IF(CT45&gt;0.352,"U1.5",IF(CT46&gt;0.5885,"u2.5",IF(CT47&gt;0.6871,"U3.5",IF(CT48&gt;0.6993,"u4.5","Run")))))</f>
        <v/>
      </c>
      <c r="CR47" s="210">
        <f>IF(CU48&gt;0.34,"O4.5",IF(CU47&gt;0.6155,"O3.5",IF(CU46&gt;0.5063,"O2.5",IF(CU45&gt;0.74,"O1.5",IF(CU44&gt;0.95,"O0.5","Run")))))</f>
        <v/>
      </c>
      <c r="CS47" s="0">
        <f>CS46+1</f>
        <v/>
      </c>
      <c r="CT47" s="0">
        <f>CT46+SUM(CN44,CM45,CL46,CK47)</f>
        <v/>
      </c>
      <c r="CU47" s="0">
        <f>CV44-CT47</f>
        <v/>
      </c>
      <c r="CX47" s="0">
        <f>AVERAGE(CX46,CX8)</f>
        <v/>
      </c>
      <c r="DA47" s="201" t="n">
        <v>0</v>
      </c>
      <c r="DB47" s="202" t="inlineStr">
        <is>
          <t>:</t>
        </is>
      </c>
      <c r="DC47" s="203" t="n">
        <v>2</v>
      </c>
      <c r="DD47" s="0">
        <f>POISSON(DA47,$C$18,FALSE)*POISSON(DC47,$D$18,FALSE)</f>
        <v/>
      </c>
      <c r="DE47" s="0">
        <f>RANK(DD47,$DD$43:$DD$74,0)</f>
        <v/>
      </c>
      <c r="DF47" s="0">
        <f>IF(DE43=4,"draw",IF(DE44=4,"away",IF(DE45=4,"draw 1-1",IF(DE46=4,"home",IF(DE47=4,"away 0-2",IF(DE48=4,"away 1-2",IF(DE49=4,"home 2-1","rountime")))))))</f>
        <v/>
      </c>
      <c r="DG47" s="0">
        <f>IF(OR(DF47="away",DF47="home",DF47="draw"),"small",IF(OR(DF47="away",DF47="home",DF47="draw",DF47="draw 1-1",DF47="away 0-2"),"under",IF(DF47="rountime","RT",0)))</f>
        <v/>
      </c>
      <c r="DH47" s="0">
        <f>DH46+1</f>
        <v/>
      </c>
      <c r="DI47" s="0">
        <f>POISSON(DH47,$C$18,FALSE)</f>
        <v/>
      </c>
      <c r="DJ47" s="0">
        <f>DI47*$DJ$43</f>
        <v/>
      </c>
      <c r="DK47" s="0">
        <f>DI47*$DK$43</f>
        <v/>
      </c>
      <c r="DL47" s="0">
        <f>DI47*$DL$43</f>
        <v/>
      </c>
      <c r="DM47" s="0">
        <f>DI47*$DM$43</f>
        <v/>
      </c>
      <c r="DN47" s="0">
        <f>DI47*$DN$43</f>
        <v/>
      </c>
      <c r="DO47" s="0">
        <f>DI47*$DO$43</f>
        <v/>
      </c>
      <c r="DP47" s="210">
        <f>IF(DS44&gt;0.38,"u0.5",IF(DS45&gt;0.352,"U1.5",IF(DS46&gt;0.5885,"u2.5",IF(DS47&gt;0.6871,"U3.5",IF(DS48&gt;0.6993,"u4.5","Run")))))</f>
        <v/>
      </c>
      <c r="DQ47" s="210">
        <f>IF(DT48&gt;0.34,"O4.5",IF(DT47&gt;0.6155,"O3.5",IF(DT46&gt;0.5063,"O2.5",IF(DT45&gt;0.74,"O1.5",IF(DT44&gt;0.95,"O0.5","Run")))))</f>
        <v/>
      </c>
      <c r="DR47" s="0">
        <f>DR46+1</f>
        <v/>
      </c>
      <c r="DS47" s="0">
        <f>DS46+SUM(DM44,DL45,DK46,DJ47)</f>
        <v/>
      </c>
      <c r="DT47" s="0">
        <f>DU44-DS47</f>
        <v/>
      </c>
      <c r="DW47" s="0">
        <f>AVERAGE(DW46,DW8)</f>
        <v/>
      </c>
    </row>
    <row r="48" ht="15.75" customHeight="1" s="276">
      <c r="E48" s="201" t="n">
        <v>1</v>
      </c>
      <c r="F48" s="202" t="inlineStr">
        <is>
          <t>:</t>
        </is>
      </c>
      <c r="G48" s="203" t="n">
        <v>2</v>
      </c>
      <c r="H48" s="0">
        <f>POISSON(E48,$C$14,FALSE)*POISSON(G48,$D$14,FALSE)</f>
        <v/>
      </c>
      <c r="I48" s="0">
        <f>RANK(H48,$H$43:$H$74,0)</f>
        <v/>
      </c>
      <c r="J48" s="0">
        <f>IF(J44="draw",1,IF(J44="draw 1-1",1,IF(J44="home",2,IF(J44="home 2-1",2,IF(J44="away",3,IF(J44="away 1-2",3,IF(J44="away 0-2",3,0)))))))</f>
        <v/>
      </c>
      <c r="K48" s="0">
        <f>COUNTIF(K44:K47,"small")</f>
        <v/>
      </c>
      <c r="L48" s="0">
        <f>L47+1</f>
        <v/>
      </c>
      <c r="M48" s="0">
        <f>POISSON(L48,$C$14,FALSE)</f>
        <v/>
      </c>
      <c r="N48" s="0">
        <f>M48*$N$43</f>
        <v/>
      </c>
      <c r="O48" s="0">
        <f>M48*$O$43</f>
        <v/>
      </c>
      <c r="P48" s="0">
        <f>M48*$P$43</f>
        <v/>
      </c>
      <c r="Q48" s="0">
        <f>M48*$Q$43</f>
        <v/>
      </c>
      <c r="R48" s="0">
        <f>M48*$R$43</f>
        <v/>
      </c>
      <c r="S48" s="0">
        <f>M48*$S$43</f>
        <v/>
      </c>
      <c r="T48" s="210">
        <f>IF(W44&gt;0.4,"u0.5",IF(W45&gt;0.52,"U1.5",IF(W46&gt;0.721,"u2.5",IF(W47&gt;0.79775,"U3.5",IF(W48&gt;0.8165,"u4.5","Run")))))</f>
        <v/>
      </c>
      <c r="U48" s="210">
        <f>IF(X48&gt;0.55,"O4.5",IF(X47&gt;0.69775,"O3.5",IF(X46&gt;0.7,"O2.5",IF(X45&gt;0.79,"O1.5",IF(X44&gt;0.92,"O0.5","Run")))))</f>
        <v/>
      </c>
      <c r="V48" s="0">
        <f>V47+1</f>
        <v/>
      </c>
      <c r="W48" s="0">
        <f>W47+SUM(R44,Q45,P46,O47,N48)</f>
        <v/>
      </c>
      <c r="X48" s="0">
        <f>$Y$44-W48</f>
        <v/>
      </c>
      <c r="AD48" s="201" t="n">
        <v>1</v>
      </c>
      <c r="AE48" s="202" t="inlineStr">
        <is>
          <t>:</t>
        </is>
      </c>
      <c r="AF48" s="203" t="n">
        <v>2</v>
      </c>
      <c r="AG48" s="0">
        <f>POISSON(AD48,$C$15,FALSE)*POISSON(AF48,$D$15,FALSE)</f>
        <v/>
      </c>
      <c r="AH48" s="0">
        <f>RANK(AG48,$AG$43:$AG$74,0)</f>
        <v/>
      </c>
      <c r="AI48" s="0">
        <f>IF(AI44="draw",1,IF(AI44="draw 1-1",1,IF(AI44="home",2,IF(AI44="home 2-1",2,IF(AI44="away",3,IF(AI44="away 1-2",3,IF(AI44="away 0-2",3,0)))))))</f>
        <v/>
      </c>
      <c r="AJ48" s="0">
        <f>COUNTIF(AJ44:AJ47,"small")</f>
        <v/>
      </c>
      <c r="AK48" s="0">
        <f>AK47+1</f>
        <v/>
      </c>
      <c r="AL48" s="0">
        <f>POISSON(AK48,$C$15,FALSE)</f>
        <v/>
      </c>
      <c r="AM48" s="0">
        <f>AL48*$AM$43</f>
        <v/>
      </c>
      <c r="AN48" s="0">
        <f>AL48*$AN$43</f>
        <v/>
      </c>
      <c r="AO48" s="0">
        <f>AL48*$AO$43</f>
        <v/>
      </c>
      <c r="AP48" s="0">
        <f>AL48*$AP$43</f>
        <v/>
      </c>
      <c r="AQ48" s="0">
        <f>AL48*$AQ$43</f>
        <v/>
      </c>
      <c r="AR48" s="0">
        <f>AL48*$AR$43</f>
        <v/>
      </c>
      <c r="AS48" s="210">
        <f>IF(AV44&gt;0.4,"u0.5",IF(AV45&gt;0.52,"U1.5",IF(AV46&gt;0.721,"u2.5",IF(AV47&gt;0.79775,"U3.5",IF(AV48&gt;0.8165,"u4.5","Run")))))</f>
        <v/>
      </c>
      <c r="AT48" s="210">
        <f>IF(AW48&gt;0.55,"O4.5",IF(AW47&gt;0.69775,"O3.5",IF(AW46&gt;0.7,"O2.5",IF(AW45&gt;0.79,"O1.5",IF(AW44&gt;0.92,"O0.5","Run")))))</f>
        <v/>
      </c>
      <c r="AU48" s="0">
        <f>AU47+1</f>
        <v/>
      </c>
      <c r="AV48" s="0">
        <f>AV47+SUM(AQ44,AP45,AO46,AN47,AM48)</f>
        <v/>
      </c>
      <c r="AW48" s="0">
        <f>AX44-AV48</f>
        <v/>
      </c>
      <c r="BC48" s="201" t="n">
        <v>1</v>
      </c>
      <c r="BD48" s="202" t="inlineStr">
        <is>
          <t>:</t>
        </is>
      </c>
      <c r="BE48" s="203" t="n">
        <v>2</v>
      </c>
      <c r="BF48" s="0">
        <f>POISSON(BC48,$C$16,FALSE)*POISSON(BE48,$D$16,FALSE)</f>
        <v/>
      </c>
      <c r="BG48" s="0">
        <f>RANK(BF48,$BF$43:$BF$74,0)</f>
        <v/>
      </c>
      <c r="BH48" s="0">
        <f>IF(BH44="draw",1,IF(BH44="draw 1-1",1,IF(BH44="home",2,IF(BH44="home 2-1",2,IF(BH44="away",3,IF(BH44="away 1-2",3,IF(BH44="away 0-2",3,0)))))))</f>
        <v/>
      </c>
      <c r="BI48" s="0">
        <f>COUNTIF(BI44:BI47,"small")</f>
        <v/>
      </c>
      <c r="BJ48" s="0">
        <f>BJ47+1</f>
        <v/>
      </c>
      <c r="BK48" s="0">
        <f>POISSON(BJ48,$C$16,FALSE)</f>
        <v/>
      </c>
      <c r="BL48" s="0">
        <f>BK48*$BL$43</f>
        <v/>
      </c>
      <c r="BM48" s="0">
        <f>BK48*$BM$43</f>
        <v/>
      </c>
      <c r="BN48" s="0">
        <f>BK48*$BN$43</f>
        <v/>
      </c>
      <c r="BO48" s="0">
        <f>BK48*$BO$43</f>
        <v/>
      </c>
      <c r="BP48" s="0">
        <f>BK48*$BP$43</f>
        <v/>
      </c>
      <c r="BQ48" s="0">
        <f>BK48*$BQ$43</f>
        <v/>
      </c>
      <c r="BR48" s="210">
        <f>IF(BU44&gt;0.4,"u0.5",IF(BU45&gt;0.52,"U1.5",IF(BU46&gt;0.721,"u2.5",IF(BU47&gt;0.79775,"U3.5",IF(BU48&gt;0.8165,"u4.5","Run")))))</f>
        <v/>
      </c>
      <c r="BS48" s="210">
        <f>IF(BV48&gt;0.55,"O4.5",IF(BV47&gt;0.69775,"O3.5",IF(BV46&gt;0.7,"O2.5",IF(BV45&gt;0.79,"O1.5",IF(BV44&gt;0.92,"O0.5","Run")))))</f>
        <v/>
      </c>
      <c r="BT48" s="0">
        <f>BT47+1</f>
        <v/>
      </c>
      <c r="BU48" s="0">
        <f>BU47+SUM(BP44,BO45,BN46,BM47,BL48)</f>
        <v/>
      </c>
      <c r="BV48" s="0">
        <f>BW44-BU48</f>
        <v/>
      </c>
      <c r="CB48" s="201" t="n">
        <v>1</v>
      </c>
      <c r="CC48" s="202" t="inlineStr">
        <is>
          <t>:</t>
        </is>
      </c>
      <c r="CD48" s="203" t="n">
        <v>2</v>
      </c>
      <c r="CE48" s="0">
        <f>POISSON(CB48,$C$17,FALSE)*POISSON(CD48,$D$17,FALSE)</f>
        <v/>
      </c>
      <c r="CF48" s="0">
        <f>RANK(CE48,$CE$43:$CE$74,0)</f>
        <v/>
      </c>
      <c r="CG48" s="0">
        <f>IF(CG44="draw",1,IF(CG44="draw 1-1",1,IF(CG44="home",2,IF(CG44="home 2-1",2,IF(CG44="away",3,IF(CG44="away 1-2",3,IF(CG44="away 0-2",3,0)))))))</f>
        <v/>
      </c>
      <c r="CH48" s="0">
        <f>COUNTIF(CH44:CH47,"small")</f>
        <v/>
      </c>
      <c r="CI48" s="0">
        <f>CI47+1</f>
        <v/>
      </c>
      <c r="CJ48" s="0">
        <f>POISSON(CI48,$C$17,FALSE)</f>
        <v/>
      </c>
      <c r="CK48" s="0">
        <f>CJ48*$CK$43</f>
        <v/>
      </c>
      <c r="CL48" s="0">
        <f>CJ48*$CL$43</f>
        <v/>
      </c>
      <c r="CM48" s="0">
        <f>CJ48*$CM$43</f>
        <v/>
      </c>
      <c r="CN48" s="0">
        <f>CJ48*$CN$43</f>
        <v/>
      </c>
      <c r="CO48" s="0">
        <f>CJ48*$CO$43</f>
        <v/>
      </c>
      <c r="CP48" s="0">
        <f>CJ48*$CP$43</f>
        <v/>
      </c>
      <c r="CQ48" s="210">
        <f>IF(CT44&gt;0.4,"u0.5",IF(CT45&gt;0.52,"U1.5",IF(CT46&gt;0.721,"u2.5",IF(CT47&gt;0.79775,"U3.5",IF(CT48&gt;0.8165,"u4.5","Run")))))</f>
        <v/>
      </c>
      <c r="CR48" s="210">
        <f>IF(CU48&gt;0.55,"O4.5",IF(CU47&gt;0.69775,"O3.5",IF(CU46&gt;0.7,"O2.5",IF(CU45&gt;0.79,"O1.5",IF(CU44&gt;0.92,"O0.5","Run")))))</f>
        <v/>
      </c>
      <c r="CS48" s="0">
        <f>CS47+1</f>
        <v/>
      </c>
      <c r="CT48" s="0">
        <f>CT47+SUM(CO44,CN45,CM46,CL47,CK48)</f>
        <v/>
      </c>
      <c r="CU48" s="0">
        <f>CV44-CT48</f>
        <v/>
      </c>
      <c r="DA48" s="201" t="n">
        <v>1</v>
      </c>
      <c r="DB48" s="202" t="inlineStr">
        <is>
          <t>:</t>
        </is>
      </c>
      <c r="DC48" s="203" t="n">
        <v>2</v>
      </c>
      <c r="DD48" s="0">
        <f>POISSON(DA48,$C$18,FALSE)*POISSON(DC48,$D$18,FALSE)</f>
        <v/>
      </c>
      <c r="DE48" s="0">
        <f>RANK(DD48,$DD$43:$DD$74,0)</f>
        <v/>
      </c>
      <c r="DF48" s="0">
        <f>IF(DF44="draw",1,IF(DF44="draw 1-1",1,IF(DF44="home",2,IF(DF44="home 2-1",2,IF(DF44="away",3,IF(DF44="away 1-2",3,IF(DF44="away 0-2",3,0)))))))</f>
        <v/>
      </c>
      <c r="DG48" s="0">
        <f>COUNTIF(DG44:DG47,"small")</f>
        <v/>
      </c>
      <c r="DH48" s="0">
        <f>DH47+1</f>
        <v/>
      </c>
      <c r="DI48" s="0">
        <f>POISSON(DH48,$C$18,FALSE)</f>
        <v/>
      </c>
      <c r="DJ48" s="0">
        <f>DI48*$DJ$43</f>
        <v/>
      </c>
      <c r="DK48" s="0">
        <f>DI48*$DK$43</f>
        <v/>
      </c>
      <c r="DL48" s="0">
        <f>DI48*$DL$43</f>
        <v/>
      </c>
      <c r="DM48" s="0">
        <f>DI48*$DM$43</f>
        <v/>
      </c>
      <c r="DN48" s="0">
        <f>DI48*$DN$43</f>
        <v/>
      </c>
      <c r="DO48" s="0">
        <f>DI48*$DO$43</f>
        <v/>
      </c>
      <c r="DP48" s="210">
        <f>IF(DS44&gt;0.4,"u0.5",IF(DS45&gt;0.52,"U1.5",IF(DS46&gt;0.721,"u2.5",IF(DS47&gt;0.79775,"U3.5",IF(DS48&gt;0.8165,"u4.5","Run")))))</f>
        <v/>
      </c>
      <c r="DQ48" s="210">
        <f>IF(DT48&gt;0.55,"O4.5",IF(DT47&gt;0.69775,"O3.5",IF(DT46&gt;0.7,"O2.5",IF(DT45&gt;0.79,"O1.5",IF(DT44&gt;0.92,"O0.5","Run")))))</f>
        <v/>
      </c>
      <c r="DR48" s="0">
        <f>DR47+1</f>
        <v/>
      </c>
      <c r="DS48" s="0">
        <f>DS47+SUM(DN44,DM45,DL46,DK47,DJ48)</f>
        <v/>
      </c>
      <c r="DT48" s="0">
        <f>DU44-DS48</f>
        <v/>
      </c>
    </row>
    <row r="49" ht="15.75" customHeight="1" s="276">
      <c r="E49" s="201" t="n">
        <v>2</v>
      </c>
      <c r="F49" s="202" t="inlineStr">
        <is>
          <t>:</t>
        </is>
      </c>
      <c r="G49" s="203" t="n">
        <v>1</v>
      </c>
      <c r="H49" s="0">
        <f>POISSON(E49,$C$14,FALSE)*POISSON(G49,$D$14,FALSE)</f>
        <v/>
      </c>
      <c r="I49" s="0">
        <f>RANK(H49,$H$43:$H$74,0)</f>
        <v/>
      </c>
      <c r="J49" s="0">
        <f>IF(J45="draw",1,IF(J45="draw 1-1",1,IF(J45="home",2,IF(J45="home 2-1",2,IF(J45="away",3,IF(J45="away 1-2",3,IF(J45="away 0-2",3,0)))))))</f>
        <v/>
      </c>
      <c r="K49" s="0">
        <f>COUNTIF(K44:K47,"under")</f>
        <v/>
      </c>
      <c r="L49" s="0">
        <f>L48+1</f>
        <v/>
      </c>
      <c r="M49" s="0">
        <f>POISSON(L49,$C$14,FALSE)</f>
        <v/>
      </c>
      <c r="N49" s="0">
        <f>M49*$N$43</f>
        <v/>
      </c>
      <c r="O49" s="0">
        <f>M49*$O$43</f>
        <v/>
      </c>
      <c r="P49" s="0">
        <f>M49*$P$43</f>
        <v/>
      </c>
      <c r="Q49" s="0">
        <f>M49*$Q$43</f>
        <v/>
      </c>
      <c r="R49" s="0">
        <f>M49*$R$43</f>
        <v/>
      </c>
      <c r="S49" s="0">
        <f>M49*$S$43</f>
        <v/>
      </c>
      <c r="V49" s="210" t="inlineStr">
        <is>
          <t xml:space="preserve">decision </t>
        </is>
      </c>
      <c r="W49" s="210">
        <f>IF(W44&gt;0.46,"u0.5",IF(W45&gt;0.688,"U1.5",IF(W46&gt;0.855,"u2.5",IF(W47&gt;0.908,"U3.5",IF(W48&gt;0.93,"u4.5","Run")))))</f>
        <v/>
      </c>
      <c r="X49" s="210">
        <f>IF(X48&gt;0.77,"O4.5",IF(X47&gt;0.79,"O3.5",IF(X46&gt;0.84,"O2.5",IF(X45&gt;0.855,"O1.5",IF(X44&gt;0.88,"O0.5","Run")))))</f>
        <v/>
      </c>
      <c r="AD49" s="201" t="n">
        <v>2</v>
      </c>
      <c r="AE49" s="202" t="inlineStr">
        <is>
          <t>:</t>
        </is>
      </c>
      <c r="AF49" s="203" t="n">
        <v>1</v>
      </c>
      <c r="AG49" s="0">
        <f>POISSON(AD49,$C$15,FALSE)*POISSON(AF49,$D$15,FALSE)</f>
        <v/>
      </c>
      <c r="AH49" s="0">
        <f>RANK(AG49,$AG$43:$AG$74,0)</f>
        <v/>
      </c>
      <c r="AI49" s="0">
        <f>IF(AI45="draw",1,IF(AI45="draw 1-1",1,IF(AI45="home",2,IF(AI45="home 2-1",2,IF(AI45="away",3,IF(AI45="away 1-2",3,IF(AI45="away 0-2",3,0)))))))</f>
        <v/>
      </c>
      <c r="AJ49" s="0">
        <f>COUNTIF(AJ44:AJ47,"under")</f>
        <v/>
      </c>
      <c r="AK49" s="0">
        <f>AK48+1</f>
        <v/>
      </c>
      <c r="AL49" s="0">
        <f>POISSON(AK49,$C$15,FALSE)</f>
        <v/>
      </c>
      <c r="AM49" s="0">
        <f>AL49*$AM$43</f>
        <v/>
      </c>
      <c r="AN49" s="0">
        <f>AL49*$AN$43</f>
        <v/>
      </c>
      <c r="AO49" s="0">
        <f>AL49*$AO$43</f>
        <v/>
      </c>
      <c r="AP49" s="0">
        <f>AL49*$AP$43</f>
        <v/>
      </c>
      <c r="AQ49" s="0">
        <f>AL49*$AQ$43</f>
        <v/>
      </c>
      <c r="AR49" s="0">
        <f>AL49*$AR$43</f>
        <v/>
      </c>
      <c r="AU49" s="210" t="inlineStr">
        <is>
          <t xml:space="preserve">decision </t>
        </is>
      </c>
      <c r="AV49" s="210">
        <f>IF(AV44&gt;0.46,"u0.5",IF(AV45&gt;0.688,"U1.5",IF(AV46&gt;0.855,"u2.5",IF(AV47&gt;0.908,"U3.5",IF(AV48&gt;0.93,"u4.5","Run")))))</f>
        <v/>
      </c>
      <c r="AW49" s="210">
        <f>IF(AW48&gt;0.77,"O4.5",IF(AW47&gt;0.79,"O3.5",IF(AW46&gt;0.84,"O2.5",IF(AW45&gt;0.855,"O1.5",IF(AW44&gt;0.88,"O0.5","Run")))))</f>
        <v/>
      </c>
      <c r="BC49" s="201" t="n">
        <v>2</v>
      </c>
      <c r="BD49" s="202" t="inlineStr">
        <is>
          <t>:</t>
        </is>
      </c>
      <c r="BE49" s="203" t="n">
        <v>1</v>
      </c>
      <c r="BF49" s="0">
        <f>POISSON(BC49,$C$16,FALSE)*POISSON(BE49,$D$16,FALSE)</f>
        <v/>
      </c>
      <c r="BG49" s="0">
        <f>RANK(BF49,$BF$43:$BF$74,0)</f>
        <v/>
      </c>
      <c r="BH49" s="0">
        <f>IF(BH45="draw",1,IF(BH45="draw 1-1",1,IF(BH45="home",2,IF(BH45="home 2-1",2,IF(BH45="away",3,IF(BH45="away 1-2",3,IF(BH45="away 0-2",3,0)))))))</f>
        <v/>
      </c>
      <c r="BI49" s="0">
        <f>COUNTIF(BI44:BI47,"under")</f>
        <v/>
      </c>
      <c r="BJ49" s="0">
        <f>BJ48+1</f>
        <v/>
      </c>
      <c r="BK49" s="0">
        <f>POISSON(BJ49,$C$16,FALSE)</f>
        <v/>
      </c>
      <c r="BL49" s="0">
        <f>BK49*$BL$43</f>
        <v/>
      </c>
      <c r="BM49" s="0">
        <f>BK49*$BM$43</f>
        <v/>
      </c>
      <c r="BN49" s="0">
        <f>BK49*$BN$43</f>
        <v/>
      </c>
      <c r="BO49" s="0">
        <f>BK49*$BO$43</f>
        <v/>
      </c>
      <c r="BP49" s="0">
        <f>BK49*$BP$43</f>
        <v/>
      </c>
      <c r="BQ49" s="0">
        <f>BK49*$BQ$43</f>
        <v/>
      </c>
      <c r="BT49" s="210" t="inlineStr">
        <is>
          <t xml:space="preserve">decision </t>
        </is>
      </c>
      <c r="BU49" s="210">
        <f>IF(BU44&gt;0.46,"u0.5",IF(BU45&gt;0.688,"U1.5",IF(BU46&gt;0.855,"u2.5",IF(BU47&gt;0.908,"U3.5",IF(BU48&gt;0.93,"u4.5","Run")))))</f>
        <v/>
      </c>
      <c r="BV49" s="210">
        <f>IF(BV48&gt;0.77,"O4.5",IF(BV47&gt;0.79,"O3.5",IF(BV46&gt;0.84,"O2.5",IF(BV45&gt;0.855,"O1.5",IF(BV44&gt;0.88,"O0.5","Run")))))</f>
        <v/>
      </c>
      <c r="CB49" s="201" t="n">
        <v>2</v>
      </c>
      <c r="CC49" s="202" t="inlineStr">
        <is>
          <t>:</t>
        </is>
      </c>
      <c r="CD49" s="203" t="n">
        <v>1</v>
      </c>
      <c r="CE49" s="0">
        <f>POISSON(CB49,$C$17,FALSE)*POISSON(CD49,$D$17,FALSE)</f>
        <v/>
      </c>
      <c r="CF49" s="0">
        <f>RANK(CE49,$CE$43:$CE$74,0)</f>
        <v/>
      </c>
      <c r="CG49" s="0">
        <f>IF(CG45="draw",1,IF(CG45="draw 1-1",1,IF(CG45="home",2,IF(CG45="home 2-1",2,IF(CG45="away",3,IF(CG45="away 1-2",3,IF(CG45="away 0-2",3,0)))))))</f>
        <v/>
      </c>
      <c r="CH49" s="0">
        <f>COUNTIF(CH44:CH47,"under")</f>
        <v/>
      </c>
      <c r="CI49" s="0">
        <f>CI48+1</f>
        <v/>
      </c>
      <c r="CJ49" s="0">
        <f>POISSON(CI49,$C$17,FALSE)</f>
        <v/>
      </c>
      <c r="CK49" s="0">
        <f>CJ49*$CK$43</f>
        <v/>
      </c>
      <c r="CL49" s="0">
        <f>CJ49*$CL$43</f>
        <v/>
      </c>
      <c r="CM49" s="0">
        <f>CJ49*$CM$43</f>
        <v/>
      </c>
      <c r="CN49" s="0">
        <f>CJ49*$CN$43</f>
        <v/>
      </c>
      <c r="CO49" s="0">
        <f>CJ49*$CO$43</f>
        <v/>
      </c>
      <c r="CP49" s="0">
        <f>CJ49*$CP$43</f>
        <v/>
      </c>
      <c r="CS49" s="210" t="inlineStr">
        <is>
          <t xml:space="preserve">decision </t>
        </is>
      </c>
      <c r="CT49" s="210">
        <f>IF(CT44&gt;0.46,"u0.5",IF(CT45&gt;0.688,"U1.5",IF(CT46&gt;0.855,"u2.5",IF(CT47&gt;0.908,"U3.5",IF(CT48&gt;0.93,"u4.5","Run")))))</f>
        <v/>
      </c>
      <c r="CU49" s="210">
        <f>IF(CU48&gt;0.77,"O4.5",IF(CU47&gt;0.79,"O3.5",IF(CU46&gt;0.84,"O2.5",IF(CU45&gt;0.855,"O1.5",IF(CU44&gt;0.88,"O0.5","Run")))))</f>
        <v/>
      </c>
      <c r="DA49" s="201" t="n">
        <v>2</v>
      </c>
      <c r="DB49" s="202" t="inlineStr">
        <is>
          <t>:</t>
        </is>
      </c>
      <c r="DC49" s="203" t="n">
        <v>1</v>
      </c>
      <c r="DD49" s="0">
        <f>POISSON(DA49,$C$18,FALSE)*POISSON(DC49,$D$18,FALSE)</f>
        <v/>
      </c>
      <c r="DE49" s="0">
        <f>RANK(DD49,$DD$43:$DD$74,0)</f>
        <v/>
      </c>
      <c r="DF49" s="0">
        <f>IF(DF45="draw",1,IF(DF45="draw 1-1",1,IF(DF45="home",2,IF(DF45="home 2-1",2,IF(DF45="away",3,IF(DF45="away 1-2",3,IF(DF45="away 0-2",3,0)))))))</f>
        <v/>
      </c>
      <c r="DG49" s="0">
        <f>COUNTIF(DG44:DG47,"under")</f>
        <v/>
      </c>
      <c r="DH49" s="0">
        <f>DH48+1</f>
        <v/>
      </c>
      <c r="DI49" s="0">
        <f>POISSON(DH49,$C$18,FALSE)</f>
        <v/>
      </c>
      <c r="DJ49" s="0">
        <f>DI49*$DJ$43</f>
        <v/>
      </c>
      <c r="DK49" s="0">
        <f>DI49*$DK$43</f>
        <v/>
      </c>
      <c r="DL49" s="0">
        <f>DI49*$DL$43</f>
        <v/>
      </c>
      <c r="DM49" s="0">
        <f>DI49*$DM$43</f>
        <v/>
      </c>
      <c r="DN49" s="0">
        <f>DI49*$DN$43</f>
        <v/>
      </c>
      <c r="DO49" s="0">
        <f>DI49*$DO$43</f>
        <v/>
      </c>
      <c r="DR49" s="210" t="inlineStr">
        <is>
          <t xml:space="preserve">decision </t>
        </is>
      </c>
      <c r="DS49" s="210">
        <f>IF(DS44&gt;0.46,"u0.5",IF(DS45&gt;0.688,"U1.5",IF(DS46&gt;0.855,"u2.5",IF(DS47&gt;0.908,"U3.5",IF(DS48&gt;0.93,"u4.5","Run")))))</f>
        <v/>
      </c>
      <c r="DT49" s="210">
        <f>IF(DT48&gt;0.77,"O4.5",IF(DT47&gt;0.79,"O3.5",IF(DT46&gt;0.84,"O2.5",IF(DT45&gt;0.855,"O1.5",IF(DT44&gt;0.88,"O0.5","Run")))))</f>
        <v/>
      </c>
    </row>
    <row r="50" ht="15.75" customHeight="1" s="276">
      <c r="E50" s="201" t="n">
        <v>1</v>
      </c>
      <c r="F50" s="202" t="inlineStr">
        <is>
          <t>:</t>
        </is>
      </c>
      <c r="G50" s="203" t="n">
        <v>3</v>
      </c>
      <c r="H50" s="0">
        <f>POISSON(E50,$C$14,FALSE)*POISSON(G50,$D$14,FALSE)</f>
        <v/>
      </c>
      <c r="I50" s="0">
        <f>RANK(H50,$H$43:$H$74,0)</f>
        <v/>
      </c>
      <c r="J50" s="0">
        <f>IF(J46="draw",1,IF(J46="draw 1-1",1,IF(J46="home",2,IF(J46="home 2-1",2,IF(J46="away",3,IF(J46="away 1-2",3,IF(J46="away 0-2",3,0)))))))</f>
        <v/>
      </c>
      <c r="K50" s="0">
        <f>COUNTIF(K44:K47,"0")</f>
        <v/>
      </c>
      <c r="Q50" s="192">
        <f>SUM(N46:O49,N45,P47,P48,P49,Q48,Q49,R49)*100</f>
        <v/>
      </c>
      <c r="R50" s="192" t="n"/>
      <c r="S50" s="192" t="n"/>
      <c r="T50" s="192">
        <f>SUM(N44,O45,P46,Q47,R48,S49)*100</f>
        <v/>
      </c>
      <c r="V50" s="192" t="n"/>
      <c r="W50" s="192" t="inlineStr">
        <is>
          <t>YES</t>
        </is>
      </c>
      <c r="X50" s="192" t="inlineStr">
        <is>
          <t>NO</t>
        </is>
      </c>
      <c r="AD50" s="201" t="n">
        <v>1</v>
      </c>
      <c r="AE50" s="202" t="inlineStr">
        <is>
          <t>:</t>
        </is>
      </c>
      <c r="AF50" s="203" t="n">
        <v>3</v>
      </c>
      <c r="AG50" s="0">
        <f>POISSON(AD50,$C$15,FALSE)*POISSON(AF50,$D$15,FALSE)</f>
        <v/>
      </c>
      <c r="AH50" s="0">
        <f>RANK(AG50,$AG$43:$AG$74,0)</f>
        <v/>
      </c>
      <c r="AI50" s="0">
        <f>IF(AI46="draw",1,IF(AI46="draw 1-1",1,IF(AI46="home",2,IF(AI46="home 2-1",2,IF(AI46="away",3,IF(AI46="away 1-2",3,IF(AI46="away 0-2",3,0)))))))</f>
        <v/>
      </c>
      <c r="AJ50" s="0">
        <f>COUNTIF(AJ44:AJ47,"0")</f>
        <v/>
      </c>
      <c r="AP50" s="192">
        <f>SUM(AM46:AN49,AM45,AO47,AO48,AO49,AP48,AP49,AQ49)*100</f>
        <v/>
      </c>
      <c r="AQ50" s="192" t="n"/>
      <c r="AR50" s="192" t="n"/>
      <c r="AS50" s="192">
        <f>SUM(AM44,AN45,AO46,AP47,AQ48,AR49)*100</f>
        <v/>
      </c>
      <c r="AU50" s="192" t="n"/>
      <c r="AV50" s="192" t="inlineStr">
        <is>
          <t>YES</t>
        </is>
      </c>
      <c r="AW50" s="192" t="inlineStr">
        <is>
          <t>NO</t>
        </is>
      </c>
      <c r="BC50" s="201" t="n">
        <v>1</v>
      </c>
      <c r="BD50" s="202" t="inlineStr">
        <is>
          <t>:</t>
        </is>
      </c>
      <c r="BE50" s="203" t="n">
        <v>3</v>
      </c>
      <c r="BF50" s="0">
        <f>POISSON(BC50,$C$16,FALSE)*POISSON(BE50,$D$16,FALSE)</f>
        <v/>
      </c>
      <c r="BG50" s="0">
        <f>RANK(BF50,$BF$43:$BF$74,0)</f>
        <v/>
      </c>
      <c r="BH50" s="0">
        <f>IF(BH46="draw",1,IF(BH46="draw 1-1",1,IF(BH46="home",2,IF(BH46="home 2-1",2,IF(BH46="away",3,IF(BH46="away 1-2",3,IF(BH46="away 0-2",3,0)))))))</f>
        <v/>
      </c>
      <c r="BI50" s="0">
        <f>COUNTIF(BI44:BI47,"0")</f>
        <v/>
      </c>
      <c r="BN50" s="192" t="n"/>
      <c r="BO50" s="192">
        <f>SUM(BL46:BM49,BL45,BN47,BN48,BN49,BO48,BO49,BP49)*100</f>
        <v/>
      </c>
      <c r="BP50" s="192" t="n"/>
      <c r="BQ50" s="192" t="n"/>
      <c r="BR50" s="192">
        <f>SUM(BL44,BM45,BN46,BO47,BP48,BQ49)*100</f>
        <v/>
      </c>
      <c r="BT50" s="192" t="n"/>
      <c r="BU50" s="192" t="inlineStr">
        <is>
          <t>YES</t>
        </is>
      </c>
      <c r="BV50" s="192" t="inlineStr">
        <is>
          <t>NO</t>
        </is>
      </c>
      <c r="CB50" s="201" t="n">
        <v>1</v>
      </c>
      <c r="CC50" s="202" t="inlineStr">
        <is>
          <t>:</t>
        </is>
      </c>
      <c r="CD50" s="203" t="n">
        <v>3</v>
      </c>
      <c r="CE50" s="0">
        <f>POISSON(CB50,$C$17,FALSE)*POISSON(CD50,$D$17,FALSE)</f>
        <v/>
      </c>
      <c r="CF50" s="0">
        <f>RANK(CE50,$CE$43:$CE$74,0)</f>
        <v/>
      </c>
      <c r="CG50" s="0">
        <f>IF(CG46="draw",1,IF(CG46="draw 1-1",1,IF(CG46="home",2,IF(CG46="home 2-1",2,IF(CG46="away",3,IF(CG46="away 1-2",3,IF(CG46="away 0-2",3,0)))))))</f>
        <v/>
      </c>
      <c r="CH50" s="0">
        <f>COUNTIF(CH44:CH47,"0")</f>
        <v/>
      </c>
      <c r="CM50" s="192" t="n"/>
      <c r="CN50" s="192">
        <f>SUM(CK46:CL49,CK45,CM47,CM48,CM49,CN48,CN49,CO49)*100</f>
        <v/>
      </c>
      <c r="CO50" s="192" t="n"/>
      <c r="CP50" s="192" t="n"/>
      <c r="CQ50" s="192" t="inlineStr">
        <is>
          <t>l</t>
        </is>
      </c>
      <c r="CS50" s="192" t="n"/>
      <c r="CT50" s="192" t="inlineStr">
        <is>
          <t>YES</t>
        </is>
      </c>
      <c r="CU50" s="192" t="inlineStr">
        <is>
          <t>NO</t>
        </is>
      </c>
      <c r="DA50" s="201" t="n">
        <v>1</v>
      </c>
      <c r="DB50" s="202" t="inlineStr">
        <is>
          <t>:</t>
        </is>
      </c>
      <c r="DC50" s="203" t="n">
        <v>3</v>
      </c>
      <c r="DD50" s="0">
        <f>POISSON(DA50,$C$18,FALSE)*POISSON(DC50,$D$18,FALSE)</f>
        <v/>
      </c>
      <c r="DE50" s="0">
        <f>RANK(DD50,$DD$43:$DD$74,0)</f>
        <v/>
      </c>
      <c r="DF50" s="0">
        <f>IF(DF46="draw",1,IF(DF46="draw 1-1",1,IF(DF46="home",2,IF(DF46="home 2-1",2,IF(DF46="away",3,IF(DF46="away 1-2",3,IF(DF46="away 0-2",3,0)))))))</f>
        <v/>
      </c>
      <c r="DG50" s="0">
        <f>COUNTIF(DG44:DG47,"0")</f>
        <v/>
      </c>
      <c r="DL50" s="192" t="n"/>
      <c r="DM50" s="192">
        <f>SUM(DJ46:DK49,DJ45,DL47,DL48,DL49,DM48,DM49,DN49)*100</f>
        <v/>
      </c>
      <c r="DN50" s="192" t="n"/>
      <c r="DO50" s="192" t="n"/>
      <c r="DP50" s="192">
        <f>SUM(DJ44,DK45,DL46,DM47,DN48,DO49)*100</f>
        <v/>
      </c>
      <c r="DR50" s="192" t="n"/>
      <c r="DS50" s="192" t="inlineStr">
        <is>
          <t>YES</t>
        </is>
      </c>
      <c r="DT50" s="192" t="inlineStr">
        <is>
          <t>NO</t>
        </is>
      </c>
    </row>
    <row r="51" ht="15.75" customHeight="1" s="276">
      <c r="E51" s="201" t="n">
        <v>2</v>
      </c>
      <c r="F51" s="202" t="inlineStr">
        <is>
          <t>:</t>
        </is>
      </c>
      <c r="G51" s="203" t="n">
        <v>2</v>
      </c>
      <c r="H51" s="0">
        <f>POISSON(E51,$C$14,FALSE)*POISSON(G51,$D$14,FALSE)</f>
        <v/>
      </c>
      <c r="I51" s="0">
        <f>RANK(H51,$H$43:$H$74,0)</f>
        <v/>
      </c>
      <c r="J51" s="0">
        <f>IF(J47="draw",1,IF(J47="draw 1-1",1,IF(J47="home",2,IF(J47="home 2-1",2,IF(J47="away",3,IF(J47="away 1-2",3,IF(J47="away 0-2",3,0)))))))</f>
        <v/>
      </c>
      <c r="K51" s="0">
        <f>COUNTIF(K44:K47,"rt")</f>
        <v/>
      </c>
      <c r="P51" s="192" t="inlineStr">
        <is>
          <t xml:space="preserve">decision </t>
        </is>
      </c>
      <c r="Q51" s="192">
        <f>IF(Q50&gt;75,"1",IF(Q50&gt;54,"1X",IF(Q50&gt;49,"Hadicap 2H",IF(T44&gt;75,"2",IF(T44&gt;54,"X2",IF(T44&gt;49,"Handiap 2A",IF(T50&gt;75,"X",IF(T50&gt;60,"likely X",IF(T50&lt;13,"12","don’t choose")))))))))</f>
        <v/>
      </c>
      <c r="V51" s="212" t="inlineStr">
        <is>
          <t>BTS</t>
        </is>
      </c>
      <c r="W51" s="212">
        <f>SUM(O45:S49)</f>
        <v/>
      </c>
      <c r="X51" s="212">
        <f>SUM(N44:S44,N45:N49)</f>
        <v/>
      </c>
      <c r="AD51" s="201" t="n">
        <v>2</v>
      </c>
      <c r="AE51" s="202" t="inlineStr">
        <is>
          <t>:</t>
        </is>
      </c>
      <c r="AF51" s="203" t="n">
        <v>2</v>
      </c>
      <c r="AG51" s="0">
        <f>POISSON(AD51,$C$15,FALSE)*POISSON(AF51,$D$15,FALSE)</f>
        <v/>
      </c>
      <c r="AH51" s="0">
        <f>RANK(AG51,$AG$43:$AG$74,0)</f>
        <v/>
      </c>
      <c r="AI51" s="0">
        <f>IF(AI47="draw",1,IF(AI47="draw 1-1",1,IF(AI47="home",2,IF(AI47="home 2-1",2,IF(AI47="away",3,IF(AI47="away 1-2",3,IF(AI47="away 0-2",3,0)))))))</f>
        <v/>
      </c>
      <c r="AJ51" s="0">
        <f>COUNTIF(AJ44:AJ47,"rt")</f>
        <v/>
      </c>
      <c r="AO51" s="192" t="inlineStr">
        <is>
          <t xml:space="preserve">decision </t>
        </is>
      </c>
      <c r="AP51" s="192">
        <f>IF(AP50&gt;75,"1",IF(AP50&gt;54,"1X",IF(AP50&gt;49,"Hadicap 2H",IF(AS44&gt;75,"2",IF(AS44&gt;54,"X2",IF(AS44&gt;49,"Handiap 2A",IF(AS50&gt;75,"X",IF(AS50&gt;60,"likely X",IF(AS50&lt;13,"12","don’t choose")))))))))</f>
        <v/>
      </c>
      <c r="AU51" s="212" t="inlineStr">
        <is>
          <t>BTS</t>
        </is>
      </c>
      <c r="AV51" s="212">
        <f>SUM(AN45:AR49)</f>
        <v/>
      </c>
      <c r="AW51" s="212">
        <f>SUM(AM44:AR44,AM45:AM49)</f>
        <v/>
      </c>
      <c r="BC51" s="201" t="n">
        <v>2</v>
      </c>
      <c r="BD51" s="202" t="inlineStr">
        <is>
          <t>:</t>
        </is>
      </c>
      <c r="BE51" s="203" t="n">
        <v>2</v>
      </c>
      <c r="BF51" s="0">
        <f>POISSON(BC51,$C$16,FALSE)*POISSON(BE51,$D$16,FALSE)</f>
        <v/>
      </c>
      <c r="BG51" s="0">
        <f>RANK(BF51,$BF$43:$BF$74,0)</f>
        <v/>
      </c>
      <c r="BH51" s="0">
        <f>IF(BH47="draw",1,IF(BH47="draw 1-1",1,IF(BH47="home",2,IF(BH47="home 2-1",2,IF(BH47="away",3,IF(BH47="away 1-2",3,IF(BH47="away 0-2",3,0)))))))</f>
        <v/>
      </c>
      <c r="BI51" s="0">
        <f>COUNTIF(BI44:BI47,"rt")</f>
        <v/>
      </c>
      <c r="BN51" s="192" t="inlineStr">
        <is>
          <t xml:space="preserve">decision </t>
        </is>
      </c>
      <c r="BO51" s="192">
        <f>IF(BO50&gt;75,"1",IF(BO50&gt;54,"1X",IF(BO50&gt;49,"Hadicap 2H",IF(BR44&gt;75,"2",IF(BR44&gt;54,"X2",IF(BR44&gt;49,"Handiap 2A",IF(BR50&gt;75,"X",IF(BR50&gt;60,"likely X",IF(BR50&lt;13,"12","don’t choose")))))))))</f>
        <v/>
      </c>
      <c r="BP51" s="192" t="n"/>
      <c r="BQ51" s="192" t="n"/>
      <c r="BR51" s="192" t="n"/>
      <c r="BT51" s="212" t="inlineStr">
        <is>
          <t>BTS</t>
        </is>
      </c>
      <c r="BU51" s="212">
        <f>SUM(BM45:BQ49)</f>
        <v/>
      </c>
      <c r="BV51" s="212">
        <f>SUM(BL44:BQ44,BL45:BL49)</f>
        <v/>
      </c>
      <c r="CB51" s="201" t="n">
        <v>2</v>
      </c>
      <c r="CC51" s="202" t="inlineStr">
        <is>
          <t>:</t>
        </is>
      </c>
      <c r="CD51" s="203" t="n">
        <v>2</v>
      </c>
      <c r="CE51" s="0">
        <f>POISSON(CB51,$C$17,FALSE)*POISSON(CD51,$D$17,FALSE)</f>
        <v/>
      </c>
      <c r="CF51" s="0">
        <f>RANK(CE51,$CE$43:$CE$74,0)</f>
        <v/>
      </c>
      <c r="CG51" s="0">
        <f>IF(CG47="draw",1,IF(CG47="draw 1-1",1,IF(CG47="home",2,IF(CG47="home 2-1",2,IF(CG47="away",3,IF(CG47="away 1-2",3,IF(CG47="away 0-2",3,0)))))))</f>
        <v/>
      </c>
      <c r="CH51" s="0">
        <f>COUNTIF(CH44:CH47,"rt")</f>
        <v/>
      </c>
      <c r="CM51" s="192" t="inlineStr">
        <is>
          <t xml:space="preserve">decision </t>
        </is>
      </c>
      <c r="CN51" s="192">
        <f>IF(CN50&gt;75,"1",IF(CN50&gt;54,"1X",IF(CN50&gt;49,"Hadicap 2H",IF(CQ44&gt;75,"2",IF(CQ44&gt;54,"X2",IF(CQ44&gt;49,"Handiap 2A",IF(CQ50&gt;75,"X",IF(CQ50&gt;60,"likely X",IF(CQ50&lt;13,"12","don’t choose")))))))))</f>
        <v/>
      </c>
      <c r="CO51" s="192" t="n"/>
      <c r="CP51" s="192" t="n"/>
      <c r="CQ51" s="192" t="n"/>
      <c r="CS51" s="212" t="inlineStr">
        <is>
          <t>BTS</t>
        </is>
      </c>
      <c r="CT51" s="212">
        <f>SUM(CL45:CP49)</f>
        <v/>
      </c>
      <c r="CU51" s="212">
        <f>SUM(CK44:CP44,CK45:CK49)</f>
        <v/>
      </c>
      <c r="DA51" s="201" t="n">
        <v>2</v>
      </c>
      <c r="DB51" s="202" t="inlineStr">
        <is>
          <t>:</t>
        </is>
      </c>
      <c r="DC51" s="203" t="n">
        <v>2</v>
      </c>
      <c r="DD51" s="0">
        <f>POISSON(DA51,$C$18,FALSE)*POISSON(DC51,$D$18,FALSE)</f>
        <v/>
      </c>
      <c r="DE51" s="0">
        <f>RANK(DD51,$DD$43:$DD$74,0)</f>
        <v/>
      </c>
      <c r="DF51" s="0">
        <f>IF(DF47="draw",1,IF(DF47="draw 1-1",1,IF(DF47="home",2,IF(DF47="home 2-1",2,IF(DF47="away",3,IF(DF47="away 1-2",3,IF(DF47="away 0-2",3,0)))))))</f>
        <v/>
      </c>
      <c r="DG51" s="0">
        <f>COUNTIF(DG44:DG47,"rt")</f>
        <v/>
      </c>
      <c r="DL51" s="192" t="inlineStr">
        <is>
          <t xml:space="preserve">decision </t>
        </is>
      </c>
      <c r="DM51" s="192">
        <f>IF(DM50&gt;75,"1",IF(DM50&gt;54,"1X",IF(DM50&gt;49,"Hadicap 2H",IF(DP44&gt;75,"2",IF(DP44&gt;54,"X2",IF(DP44&gt;49,"Handiap 2A",IF(DP50&gt;75,"X",IF(DP50&gt;60,"likely X",IF(DP50&lt;13,"12","don’t choose")))))))))</f>
        <v/>
      </c>
      <c r="DN51" s="192" t="n"/>
      <c r="DO51" s="192" t="n"/>
      <c r="DP51" s="192" t="n"/>
      <c r="DR51" s="212" t="inlineStr">
        <is>
          <t>BTS</t>
        </is>
      </c>
      <c r="DS51" s="212">
        <f>SUM(DK45:DO49)</f>
        <v/>
      </c>
      <c r="DT51" s="212">
        <f>SUM(DJ44:DO44,DJ45:DJ49)</f>
        <v/>
      </c>
    </row>
    <row r="52" ht="15.75" customHeight="1" s="276">
      <c r="E52" s="201" t="n">
        <v>3</v>
      </c>
      <c r="F52" s="202" t="inlineStr">
        <is>
          <t>:</t>
        </is>
      </c>
      <c r="G52" s="203" t="n">
        <v>1</v>
      </c>
      <c r="H52" s="0">
        <f>POISSON(E52,$C$14,FALSE)*POISSON(G52,$D$14,FALSE)</f>
        <v/>
      </c>
      <c r="I52" s="0">
        <f>RANK(H52,$H$43:$H$74,0)</f>
        <v/>
      </c>
      <c r="J52" s="0">
        <f>SUM(J48:J51)</f>
        <v/>
      </c>
      <c r="K52" s="0">
        <f>IF(K51&gt;0,"Rt",IF(K48&gt;3,"u2.5",IF(AND(K48&gt;2,K49&gt;0),"u2.5",IF(AND(K49&gt;K48,K49&gt;K50),"u3.5",IF(AND(K50&gt;K49,K50&gt;K48),"o2.5","u4.5")))))</f>
        <v/>
      </c>
      <c r="L52" s="0" t="inlineStr">
        <is>
          <t xml:space="preserve">home </t>
        </is>
      </c>
      <c r="M52" s="0" t="inlineStr">
        <is>
          <t>away</t>
        </is>
      </c>
      <c r="Q52" s="0">
        <f>SUM(N44:N49,O46:O49, ,O45,P46:P49,Q47:Q49,R48:R49,S49)</f>
        <v/>
      </c>
      <c r="R52" s="0">
        <f>(T44+T50)/100</f>
        <v/>
      </c>
      <c r="V52" s="212" t="inlineStr">
        <is>
          <t xml:space="preserve">decision </t>
        </is>
      </c>
      <c r="W52" s="212">
        <f>IF(X51&gt;0.8,"NO GG",IF(W51&gt;0.81,"GG","run"))</f>
        <v/>
      </c>
      <c r="X52" s="212" t="n"/>
      <c r="AD52" s="201" t="n">
        <v>3</v>
      </c>
      <c r="AE52" s="202" t="inlineStr">
        <is>
          <t>:</t>
        </is>
      </c>
      <c r="AF52" s="203" t="n">
        <v>1</v>
      </c>
      <c r="AG52" s="0">
        <f>POISSON(AD52,$C$15,FALSE)*POISSON(AF52,$D$15,FALSE)</f>
        <v/>
      </c>
      <c r="AH52" s="0">
        <f>RANK(AG52,$AG$43:$AG$74,0)</f>
        <v/>
      </c>
      <c r="AI52" s="0">
        <f>SUM(AI48:AI51)</f>
        <v/>
      </c>
      <c r="AJ52" s="0">
        <f>IF(AJ51&gt;0,"Rt",IF(AJ48&gt;3,"u2.5",IF(AND(AJ48&gt;2,AJ49&gt;0),"u2.5",IF(AND(AJ49&gt;AJ48,AJ49&gt;AJ50),"u3.5",IF(AND(AJ50&gt;AJ49,AJ50&gt;AJ48),"o2.5","u4.5")))))</f>
        <v/>
      </c>
      <c r="AK52" s="0" t="inlineStr">
        <is>
          <t>Away</t>
        </is>
      </c>
      <c r="AL52" s="0" t="inlineStr">
        <is>
          <t>home</t>
        </is>
      </c>
      <c r="AO52" s="192" t="n"/>
      <c r="AP52" s="192">
        <f>SUM(AM44:AM49,AN45:AN49,AO46:AO49,AP47:AP49,AQ48:AQ49,AR49)</f>
        <v/>
      </c>
      <c r="AQ52" s="192">
        <f>SUM(AR44:AR49,AQ44:AQ48,AP44:AP47,AO44:AO46,AN44:AN45,AM44)</f>
        <v/>
      </c>
      <c r="AR52" s="192">
        <f>SUM(AP52,AQ52)</f>
        <v/>
      </c>
      <c r="AU52" s="212" t="inlineStr">
        <is>
          <t xml:space="preserve">decision </t>
        </is>
      </c>
      <c r="AV52" s="212">
        <f>IF(AW51&gt;0.8,"NO GG",IF(AV51&gt;0.81,"GG","run"))</f>
        <v/>
      </c>
      <c r="AW52" s="212" t="n"/>
      <c r="BC52" s="201" t="n">
        <v>3</v>
      </c>
      <c r="BD52" s="202" t="inlineStr">
        <is>
          <t>:</t>
        </is>
      </c>
      <c r="BE52" s="203" t="n">
        <v>1</v>
      </c>
      <c r="BF52" s="0">
        <f>POISSON(BC52,$C$16,FALSE)*POISSON(BE52,$D$16,FALSE)</f>
        <v/>
      </c>
      <c r="BG52" s="0">
        <f>RANK(BF52,$BF$43:$BF$74,0)</f>
        <v/>
      </c>
      <c r="BH52" s="0">
        <f>SUM(BH48:BH51)</f>
        <v/>
      </c>
      <c r="BI52" s="0">
        <f>IF(BI51&gt;0,"Rt",IF(BI48&gt;3,"u2.5",IF(AND(BI48&gt;2,BI49&gt;0),"u2.5",IF(AND(BI49&gt;BI48,BI49&gt;BI50),"u3.5",IF(AND(BI50&gt;BI49,BI50&gt;BI48),"o2.5","u4.5")))))</f>
        <v/>
      </c>
      <c r="BJ52" s="0">
        <f>BJ19-$BJ$34</f>
        <v/>
      </c>
      <c r="BK52" s="0">
        <f>BK19-$BK$34</f>
        <v/>
      </c>
      <c r="BL52" s="0">
        <f>BJ52*BJ52</f>
        <v/>
      </c>
      <c r="BM52" s="0">
        <f>BK52*BK52</f>
        <v/>
      </c>
      <c r="BN52" s="192" t="n"/>
      <c r="BO52" s="192">
        <f>SUM(BL44:BL49,BM45:BM49,BN46:BN49,BO47:BO49,BP48:BP49,BQ49)</f>
        <v/>
      </c>
      <c r="BP52" s="192">
        <f>SUM(BQ44:BQ49,BP44:BP48,BO44:BO47,BN44:BN46,BM44:BM45,BL44)</f>
        <v/>
      </c>
      <c r="BQ52" s="192">
        <f>SUM(BO52,BP52)</f>
        <v/>
      </c>
      <c r="BT52" s="212" t="inlineStr">
        <is>
          <t xml:space="preserve">decision </t>
        </is>
      </c>
      <c r="BU52" s="212">
        <f>IF(BV51&gt;0.8,"NO GG",IF(BU51&gt;0.81,"GG","run"))</f>
        <v/>
      </c>
      <c r="BV52" s="212" t="n"/>
      <c r="CB52" s="201" t="n">
        <v>3</v>
      </c>
      <c r="CC52" s="202" t="inlineStr">
        <is>
          <t>:</t>
        </is>
      </c>
      <c r="CD52" s="203" t="n">
        <v>1</v>
      </c>
      <c r="CE52" s="0">
        <f>POISSON(CB52,$C$17,FALSE)*POISSON(CD52,$D$17,FALSE)</f>
        <v/>
      </c>
      <c r="CF52" s="0">
        <f>RANK(CE52,$CE$43:$CE$74,0)</f>
        <v/>
      </c>
      <c r="CG52" s="0">
        <f>SUM(CG48:CG51)</f>
        <v/>
      </c>
      <c r="CH52" s="0">
        <f>IF(CH51&gt;0,"Rt",IF(CH48&gt;3,"u2.5",IF(AND(CH48&gt;2,CH49&gt;0),"u2.5",IF(AND(CH49&gt;CH48,CH49&gt;CH50),"u3.5",IF(AND(CH50&gt;CH49,CH50&gt;CH48),"o2.5","u4.5")))))</f>
        <v/>
      </c>
      <c r="CM52" s="192" t="n"/>
      <c r="CN52" s="192">
        <f>SUM(CK44:CK49,CL45:CL49,CM46:CM49,CN47:CN49,CO48:CO49,CP49)</f>
        <v/>
      </c>
      <c r="CO52" s="192">
        <f>SUM(CP44:CP49,CO44:CO48,CN44:CN47,CM44:CM46,CL44:CL45,CK44)</f>
        <v/>
      </c>
      <c r="CP52" s="192">
        <f>SUM(CN52,CO52)</f>
        <v/>
      </c>
      <c r="CS52" s="212" t="inlineStr">
        <is>
          <t xml:space="preserve">decision </t>
        </is>
      </c>
      <c r="CT52" s="212">
        <f>IF(CU51&gt;0.8,"NO GG",IF(CT51&gt;0.81,"GG","run"))</f>
        <v/>
      </c>
      <c r="CU52" s="212" t="n"/>
      <c r="DA52" s="201" t="n">
        <v>3</v>
      </c>
      <c r="DB52" s="202" t="inlineStr">
        <is>
          <t>:</t>
        </is>
      </c>
      <c r="DC52" s="203" t="n">
        <v>1</v>
      </c>
      <c r="DD52" s="0">
        <f>POISSON(DA52,$C$18,FALSE)*POISSON(DC52,$D$18,FALSE)</f>
        <v/>
      </c>
      <c r="DE52" s="0">
        <f>RANK(DD52,$DD$43:$DD$74,0)</f>
        <v/>
      </c>
      <c r="DF52" s="0">
        <f>SUM(DF48:DF51)</f>
        <v/>
      </c>
      <c r="DG52" s="0">
        <f>IF(DG51&gt;0,"Rt",IF(DG48&gt;3,"u2.5",IF(AND(DG48&gt;2,DG49&gt;0),"u2.5",IF(AND(DG49&gt;DG48,DG49&gt;DG50),"u3.5",IF(AND(DG50&gt;DG49,DG50&gt;DG48),"o2.5","u4.5")))))</f>
        <v/>
      </c>
      <c r="DL52" s="192" t="n"/>
      <c r="DM52" s="192">
        <f>SUM(DJ44:DJ49,DK45:DK49,DL46:DL49,DM47:DM49,DN48:DN49,DO49)</f>
        <v/>
      </c>
      <c r="DN52" s="192">
        <f>SUM(DO44:DO49,DN44:DN48,DM44:DM47,DL44:DL46,DK44:DK45,DJ44)</f>
        <v/>
      </c>
      <c r="DO52" s="192">
        <f>SUM(DM52,DN52)</f>
        <v/>
      </c>
      <c r="DR52" s="212" t="inlineStr">
        <is>
          <t xml:space="preserve">decision </t>
        </is>
      </c>
      <c r="DS52" s="212">
        <f>IF(DT51&gt;0.8,"NO GG",IF(DS51&gt;0.81,"GG","run"))</f>
        <v/>
      </c>
      <c r="DT52" s="212" t="n"/>
    </row>
    <row r="53" ht="15.75" customHeight="1" s="276">
      <c r="E53" s="201" t="n">
        <v>3</v>
      </c>
      <c r="F53" s="202" t="inlineStr">
        <is>
          <t>:</t>
        </is>
      </c>
      <c r="G53" s="203" t="n">
        <v>0</v>
      </c>
      <c r="H53" s="0">
        <f>POISSON(E53,$C$14,FALSE)*POISSON(G53,$D$14,FALSE)</f>
        <v/>
      </c>
      <c r="I53" s="0">
        <f>RANK(H53,$H$43:$H$74,0)</f>
        <v/>
      </c>
      <c r="J53" s="0">
        <f>IF(J48=2,3,J48)</f>
        <v/>
      </c>
      <c r="K53" s="0">
        <f>IF((K48+K49)&gt;3,"firm",IF((K48+K49+K50)&gt;3,"in line","check"))</f>
        <v/>
      </c>
      <c r="L53" s="0">
        <f>(L19/$K$35)*100</f>
        <v/>
      </c>
      <c r="M53" s="0">
        <f>(M19/$K$35)*100</f>
        <v/>
      </c>
      <c r="N53" s="0">
        <f>L53-M53</f>
        <v/>
      </c>
      <c r="O53" s="0">
        <f>M53-L53</f>
        <v/>
      </c>
      <c r="P53" s="0" t="inlineStr">
        <is>
          <t>calc</t>
        </is>
      </c>
      <c r="Q53" s="0">
        <f>Q52-R52</f>
        <v/>
      </c>
      <c r="R53" s="0">
        <f>S53/(S53+S53)*100</f>
        <v/>
      </c>
      <c r="S53" s="192">
        <f>IF(Q53&lt;0,-Q53,Q53)</f>
        <v/>
      </c>
      <c r="V53" s="214" t="inlineStr">
        <is>
          <t>odd</t>
        </is>
      </c>
      <c r="W53" s="214" t="inlineStr">
        <is>
          <t xml:space="preserve">even </t>
        </is>
      </c>
      <c r="X53" s="192" t="n"/>
      <c r="AD53" s="201" t="n">
        <v>3</v>
      </c>
      <c r="AE53" s="202" t="inlineStr">
        <is>
          <t>:</t>
        </is>
      </c>
      <c r="AF53" s="203" t="n">
        <v>0</v>
      </c>
      <c r="AG53" s="0">
        <f>POISSON(AD53,$C$15,FALSE)*POISSON(AF53,$D$15,FALSE)</f>
        <v/>
      </c>
      <c r="AH53" s="0">
        <f>RANK(AG53,$AG$43:$AG$74,0)</f>
        <v/>
      </c>
      <c r="AI53" s="0">
        <f>IF(AI48=2,3,AI48)</f>
        <v/>
      </c>
      <c r="AJ53" s="0">
        <f>IF((AJ48+AJ49)&gt;3,"firm",IF((AJ48+AJ49+AJ50)&gt;3,"in line","check"))</f>
        <v/>
      </c>
      <c r="AK53" s="0">
        <f>(AK19/$AJ$35)*100</f>
        <v/>
      </c>
      <c r="AL53" s="0">
        <f>(AL19/$AJ$35)*100</f>
        <v/>
      </c>
      <c r="AM53" s="0">
        <f>AK53-AL53</f>
        <v/>
      </c>
      <c r="AO53" s="0" t="inlineStr">
        <is>
          <t>calc</t>
        </is>
      </c>
      <c r="AP53" s="0">
        <f>AP52-AQ52</f>
        <v/>
      </c>
      <c r="AQ53" s="0">
        <f>AR53/(AR53+AR53)*100</f>
        <v/>
      </c>
      <c r="AR53" s="192">
        <f>IF(AP53&lt;0,-AP53,AP53)</f>
        <v/>
      </c>
      <c r="AU53" s="214" t="inlineStr">
        <is>
          <t>odd</t>
        </is>
      </c>
      <c r="AV53" s="214" t="inlineStr">
        <is>
          <t xml:space="preserve">even </t>
        </is>
      </c>
      <c r="AW53" s="192" t="n"/>
      <c r="BC53" s="201" t="n">
        <v>3</v>
      </c>
      <c r="BD53" s="202" t="inlineStr">
        <is>
          <t>:</t>
        </is>
      </c>
      <c r="BE53" s="203" t="n">
        <v>0</v>
      </c>
      <c r="BF53" s="0">
        <f>POISSON(BC53,$C$16,FALSE)*POISSON(BE53,$D$16,FALSE)</f>
        <v/>
      </c>
      <c r="BG53" s="0">
        <f>RANK(BF53,$BF$43:$BF$74,0)</f>
        <v/>
      </c>
      <c r="BH53" s="0">
        <f>IF(BH48=2,3,BH48)</f>
        <v/>
      </c>
      <c r="BI53" s="0">
        <f>IF((BI48+BI49)&gt;3,"firm",IF((BI48+BI49+BI50)&gt;3,"in line","check"))</f>
        <v/>
      </c>
      <c r="BJ53" s="0">
        <f>BJ20-$BJ$34</f>
        <v/>
      </c>
      <c r="BK53" s="0">
        <f>BK20-$BK$34</f>
        <v/>
      </c>
      <c r="BL53" s="0">
        <f>BJ53*BJ53</f>
        <v/>
      </c>
      <c r="BM53" s="0">
        <f>BK53*BK53</f>
        <v/>
      </c>
      <c r="BN53" s="0" t="inlineStr">
        <is>
          <t>calc</t>
        </is>
      </c>
      <c r="BO53" s="0">
        <f>BO52-BP52</f>
        <v/>
      </c>
      <c r="BP53" s="0">
        <f>BQ53/(BQ53+BQ53)*100</f>
        <v/>
      </c>
      <c r="BQ53" s="192">
        <f>IF(BO53&lt;0,-BO53,BO53)</f>
        <v/>
      </c>
      <c r="BT53" s="214" t="inlineStr">
        <is>
          <t>odd</t>
        </is>
      </c>
      <c r="BU53" s="214" t="inlineStr">
        <is>
          <t xml:space="preserve">even </t>
        </is>
      </c>
      <c r="BV53" s="192" t="n"/>
      <c r="CB53" s="201" t="n">
        <v>3</v>
      </c>
      <c r="CC53" s="202" t="inlineStr">
        <is>
          <t>:</t>
        </is>
      </c>
      <c r="CD53" s="203" t="n">
        <v>0</v>
      </c>
      <c r="CE53" s="0">
        <f>POISSON(CB53,$C$17,FALSE)*POISSON(CD53,$D$17,FALSE)</f>
        <v/>
      </c>
      <c r="CF53" s="0">
        <f>RANK(CE53,$CE$43:$CE$74,0)</f>
        <v/>
      </c>
      <c r="CG53" s="0">
        <f>IF(CG48=2,3,CG48)</f>
        <v/>
      </c>
      <c r="CH53" s="0">
        <f>IF((CH48+CH49)&gt;3,"firm",IF((CH48+CH49+CH50)&gt;3,"in line","check"))</f>
        <v/>
      </c>
      <c r="CM53" s="0" t="inlineStr">
        <is>
          <t>calc</t>
        </is>
      </c>
      <c r="CN53" s="0">
        <f>CN52-CO52</f>
        <v/>
      </c>
      <c r="CO53" s="0">
        <f>CP53/(CP53+CP53)*100</f>
        <v/>
      </c>
      <c r="CP53" s="192">
        <f>IF(CN53&lt;0,-CN53,CN53)</f>
        <v/>
      </c>
      <c r="CS53" s="214" t="inlineStr">
        <is>
          <t>odd</t>
        </is>
      </c>
      <c r="CT53" s="214" t="inlineStr">
        <is>
          <t xml:space="preserve">even </t>
        </is>
      </c>
      <c r="CU53" s="192" t="n"/>
      <c r="DA53" s="201" t="n">
        <v>3</v>
      </c>
      <c r="DB53" s="202" t="inlineStr">
        <is>
          <t>:</t>
        </is>
      </c>
      <c r="DC53" s="203" t="n">
        <v>0</v>
      </c>
      <c r="DD53" s="0">
        <f>POISSON(DA53,$C$18,FALSE)*POISSON(DC53,$D$18,FALSE)</f>
        <v/>
      </c>
      <c r="DE53" s="0">
        <f>RANK(DD53,$DD$43:$DD$74,0)</f>
        <v/>
      </c>
      <c r="DF53" s="0">
        <f>IF(DF48=2,3,DF48)</f>
        <v/>
      </c>
      <c r="DG53" s="0">
        <f>IF((DG48+DG49)&gt;3,"firm",IF((DG48+DG49+DG50)&gt;3,"in line","check"))</f>
        <v/>
      </c>
      <c r="DL53" s="0" t="inlineStr">
        <is>
          <t>calc</t>
        </is>
      </c>
      <c r="DM53" s="0">
        <f>DM52-DN52</f>
        <v/>
      </c>
      <c r="DN53" s="0">
        <f>DO53/(DO53+DO53)*100</f>
        <v/>
      </c>
      <c r="DO53" s="192">
        <f>IF(DM53&lt;0,-DM53,DM53)</f>
        <v/>
      </c>
      <c r="DR53" s="214" t="inlineStr">
        <is>
          <t>odd</t>
        </is>
      </c>
      <c r="DS53" s="214" t="inlineStr">
        <is>
          <t xml:space="preserve">even </t>
        </is>
      </c>
      <c r="DT53" s="192" t="n"/>
    </row>
    <row r="54" ht="15.75" customHeight="1" s="276">
      <c r="E54" s="201" t="n">
        <v>2</v>
      </c>
      <c r="F54" s="202" t="inlineStr">
        <is>
          <t>:</t>
        </is>
      </c>
      <c r="G54" s="203" t="n">
        <v>3</v>
      </c>
      <c r="H54" s="0">
        <f>POISSON(E54,$C$14,FALSE)*POISSON(G54,$D$14,FALSE)</f>
        <v/>
      </c>
      <c r="I54" s="0">
        <f>RANK(H54,$H$43:$H$74,0)</f>
        <v/>
      </c>
      <c r="J54" s="0">
        <f>IF(J49=2,3,J49)</f>
        <v/>
      </c>
      <c r="L54" s="0">
        <f>(L20/$K$35)*100</f>
        <v/>
      </c>
      <c r="M54" s="0">
        <f>(M20/$K$35)*100</f>
        <v/>
      </c>
      <c r="N54" s="0">
        <f>L54-M54</f>
        <v/>
      </c>
      <c r="O54" s="0">
        <f>M54-L54</f>
        <v/>
      </c>
      <c r="P54" s="192" t="inlineStr">
        <is>
          <t>Ave.GE</t>
        </is>
      </c>
      <c r="Q54" s="192">
        <f>AVERAGE(Q52,R52)</f>
        <v/>
      </c>
      <c r="R54" s="192" t="n"/>
      <c r="S54" s="192" t="n"/>
      <c r="V54" s="215">
        <f>SUM(O44,N45,P45,Q46,R47,S48,O46,P47,Q48,R49,P49,O48,N47,N49,Q44,R45,S46,S44)</f>
        <v/>
      </c>
      <c r="W54" s="215">
        <f>SUM(N44,O45,P46,Q47,R48,S49,P44,Q45,R46,S47,R44,S45,N46,O47,P48,Q49,O49,N48)</f>
        <v/>
      </c>
      <c r="X54" s="192" t="n"/>
      <c r="AD54" s="201" t="n">
        <v>2</v>
      </c>
      <c r="AE54" s="202" t="inlineStr">
        <is>
          <t>:</t>
        </is>
      </c>
      <c r="AF54" s="203" t="n">
        <v>3</v>
      </c>
      <c r="AG54" s="0">
        <f>POISSON(AD54,$C$15,FALSE)*POISSON(AF54,$D$15,FALSE)</f>
        <v/>
      </c>
      <c r="AH54" s="0">
        <f>RANK(AG54,$AG$43:$AG$74,0)</f>
        <v/>
      </c>
      <c r="AI54" s="0">
        <f>IF(AI49=2,3,AI49)</f>
        <v/>
      </c>
      <c r="AK54" s="0">
        <f>(AK20/$AJ$35)*100</f>
        <v/>
      </c>
      <c r="AL54" s="0">
        <f>(AL20/$AJ$35)*100</f>
        <v/>
      </c>
      <c r="AM54" s="0">
        <f>AK54-AL54</f>
        <v/>
      </c>
      <c r="AO54" s="192" t="inlineStr">
        <is>
          <t>Ave.GE</t>
        </is>
      </c>
      <c r="AP54" s="192">
        <f>AVERAGE(AP52,AQ52)</f>
        <v/>
      </c>
      <c r="AQ54" s="192" t="n"/>
      <c r="AR54" s="192" t="n"/>
      <c r="AU54" s="215">
        <f>SUM(AN44,AM45,AO45,AP46,AQ47,AR48,AN46,AO47,AP48,AQ49,AO49,AN48,AM47,AM49,AP44,AQ45,AR46,AR44)</f>
        <v/>
      </c>
      <c r="AV54" s="215">
        <f>SUM(AM44,AN45,AO46,AP47,AQ48,AR49,AO44,AP45,AQ46,AR47,AQ44,AR45,AM46,AN47,AO48,AP49,AN49,AM48)</f>
        <v/>
      </c>
      <c r="AW54" s="192" t="n"/>
      <c r="BC54" s="201" t="n">
        <v>2</v>
      </c>
      <c r="BD54" s="202" t="inlineStr">
        <is>
          <t>:</t>
        </is>
      </c>
      <c r="BE54" s="203" t="n">
        <v>3</v>
      </c>
      <c r="BF54" s="0">
        <f>POISSON(BC54,$C$16,FALSE)*POISSON(BE54,$D$16,FALSE)</f>
        <v/>
      </c>
      <c r="BG54" s="0">
        <f>RANK(BF54,$BF$43:$BF$74,0)</f>
        <v/>
      </c>
      <c r="BH54" s="0">
        <f>IF(BH49=2,3,BH49)</f>
        <v/>
      </c>
      <c r="BJ54" s="0">
        <f>BJ21-$BJ$34</f>
        <v/>
      </c>
      <c r="BK54" s="0">
        <f>BK21-$BK$34</f>
        <v/>
      </c>
      <c r="BL54" s="0">
        <f>BJ54*BJ54</f>
        <v/>
      </c>
      <c r="BM54" s="0">
        <f>BK54*BK54</f>
        <v/>
      </c>
      <c r="BN54" s="192" t="inlineStr">
        <is>
          <t>Ave.GE</t>
        </is>
      </c>
      <c r="BO54" s="192">
        <f>AVERAGE(BO52,BP52)</f>
        <v/>
      </c>
      <c r="BP54" s="192" t="n"/>
      <c r="BQ54" s="192" t="n"/>
      <c r="BT54" s="215">
        <f>SUM(BM44,BL45,BN45,BO46,BP47,BQ48,BM46,BN47,BO48,BP49,BN49,BM48,BL47,BL49,BO44,BP45,BQ46,BQ44)</f>
        <v/>
      </c>
      <c r="BU54" s="215">
        <f>SUM(BL44,BM45,BN46,BO47,BP48,BQ49,BN44,BO45,BP46,BQ47,BP44,BQ45,BL46,BM47,BN48,BO49,BM49,BL48)</f>
        <v/>
      </c>
      <c r="BV54" s="192" t="n"/>
      <c r="CB54" s="201" t="n">
        <v>2</v>
      </c>
      <c r="CC54" s="202" t="inlineStr">
        <is>
          <t>:</t>
        </is>
      </c>
      <c r="CD54" s="203" t="n">
        <v>3</v>
      </c>
      <c r="CE54" s="0">
        <f>POISSON(CB54,$C$17,FALSE)*POISSON(CD54,$D$17,FALSE)</f>
        <v/>
      </c>
      <c r="CF54" s="0">
        <f>RANK(CE54,$CE$43:$CE$74,0)</f>
        <v/>
      </c>
      <c r="CG54" s="0">
        <f>IF(CG49=2,3,CG49)</f>
        <v/>
      </c>
      <c r="CM54" s="192" t="inlineStr">
        <is>
          <t>Ave.GE</t>
        </is>
      </c>
      <c r="CN54" s="192">
        <f>AVERAGE(CN52,CO52)</f>
        <v/>
      </c>
      <c r="CO54" s="192" t="n"/>
      <c r="CP54" s="192" t="n"/>
      <c r="CS54" s="215">
        <f>SUM(CL44,CK45,CM45,CN46,CO47,CP48,CL46,CM47,CN48,CO49,CM49,CL48,CK47,CK49,CN44,CO45,CP46,CP44)</f>
        <v/>
      </c>
      <c r="CT54" s="215">
        <f>SUM(CK44,CL45,CM46,CN47,CO48,CP49,CM44,CN45,CO46,CP47,CO44,CP45,CK46,CL47,CM48,CN49,CL49,CK48)</f>
        <v/>
      </c>
      <c r="CU54" s="192" t="n"/>
      <c r="DA54" s="201" t="n">
        <v>2</v>
      </c>
      <c r="DB54" s="202" t="inlineStr">
        <is>
          <t>:</t>
        </is>
      </c>
      <c r="DC54" s="203" t="n">
        <v>3</v>
      </c>
      <c r="DD54" s="0">
        <f>POISSON(DA54,$C$18,FALSE)*POISSON(DC54,$D$18,FALSE)</f>
        <v/>
      </c>
      <c r="DE54" s="0">
        <f>RANK(DD54,$DD$43:$DD$74,0)</f>
        <v/>
      </c>
      <c r="DF54" s="0">
        <f>IF(DF49=2,3,DF49)</f>
        <v/>
      </c>
      <c r="DL54" s="192" t="inlineStr">
        <is>
          <t>Ave.GE</t>
        </is>
      </c>
      <c r="DM54" s="192">
        <f>AVERAGE(DM52,DN52)</f>
        <v/>
      </c>
      <c r="DN54" s="192" t="n"/>
      <c r="DO54" s="192" t="n"/>
      <c r="DR54" s="215">
        <f>SUM(DK44,DJ45,DL45,DM46,DN47,DO48,DK46,DL47,DM48,DN49,DL49,DK48,DJ47,DJ49,DM44,DN45,DO46,DO44)</f>
        <v/>
      </c>
      <c r="DS54" s="215">
        <f>SUM(DJ44,DK45,DL46,DM47,DN48,DO49,DL44,DM45,DN46,DO47,DN44,DO45,DJ46,DK47,DL48,DM49,DK49,DJ48)</f>
        <v/>
      </c>
      <c r="DT54" s="192" t="n"/>
    </row>
    <row r="55" ht="15.75" customHeight="1" s="276">
      <c r="D55" s="0">
        <f>IF(OR(C57&gt;D56,C57=D56),"yes","no")</f>
        <v/>
      </c>
      <c r="E55" s="201" t="n">
        <v>1</v>
      </c>
      <c r="F55" s="202" t="inlineStr">
        <is>
          <t>:</t>
        </is>
      </c>
      <c r="G55" s="203" t="n">
        <v>4</v>
      </c>
      <c r="H55" s="0">
        <f>POISSON(E55,$C$14,FALSE)*POISSON(G55,$D$14,FALSE)</f>
        <v/>
      </c>
      <c r="I55" s="0">
        <f>RANK(H55,$H$43:$H$74,0)</f>
        <v/>
      </c>
      <c r="J55" s="0">
        <f>IF(J50=2,3,J50)</f>
        <v/>
      </c>
      <c r="L55" s="0">
        <f>(L21/$K$35)*100</f>
        <v/>
      </c>
      <c r="M55" s="0">
        <f>(M21/$K$35)*100</f>
        <v/>
      </c>
      <c r="N55" s="0">
        <f>L55-M55</f>
        <v/>
      </c>
      <c r="O55" s="0">
        <f>M55-L55</f>
        <v/>
      </c>
      <c r="V55" s="218" t="inlineStr">
        <is>
          <t xml:space="preserve">decision </t>
        </is>
      </c>
      <c r="W55" s="218">
        <f>IF(W54&gt;0.525,"EVEN",IF(V54&gt;0.53,"ODD","RUN"))</f>
        <v/>
      </c>
      <c r="X55" s="217" t="n"/>
      <c r="AC55" s="0">
        <f>IF(OR(AB57&gt;AC56,AB57=AC56),"yes","no")</f>
        <v/>
      </c>
      <c r="AD55" s="201" t="n">
        <v>1</v>
      </c>
      <c r="AE55" s="202" t="inlineStr">
        <is>
          <t>:</t>
        </is>
      </c>
      <c r="AF55" s="203" t="n">
        <v>4</v>
      </c>
      <c r="AG55" s="0">
        <f>POISSON(AD55,$C$15,FALSE)*POISSON(AF55,$D$15,FALSE)</f>
        <v/>
      </c>
      <c r="AH55" s="0">
        <f>RANK(AG55,$AG$43:$AG$74,0)</f>
        <v/>
      </c>
      <c r="AI55" s="0">
        <f>IF(AI50=2,3,AI50)</f>
        <v/>
      </c>
      <c r="AK55" s="0">
        <f>(AK21/$AJ$35)*100</f>
        <v/>
      </c>
      <c r="AL55" s="0">
        <f>(AL21/$AJ$35)*100</f>
        <v/>
      </c>
      <c r="AM55" s="0">
        <f>AK55-AL55</f>
        <v/>
      </c>
      <c r="AU55" s="218" t="inlineStr">
        <is>
          <t xml:space="preserve">decision </t>
        </is>
      </c>
      <c r="AV55" s="218">
        <f>IF(AV54&gt;0.525,"EVEN",IF(AU54&gt;0.53,"ODD","RUN"))</f>
        <v/>
      </c>
      <c r="AW55" s="217" t="n"/>
      <c r="BB55" s="0">
        <f>IF(OR(BA57&gt;BB56,BA57=BB56),"yes","no")</f>
        <v/>
      </c>
      <c r="BC55" s="201" t="n">
        <v>1</v>
      </c>
      <c r="BD55" s="202" t="inlineStr">
        <is>
          <t>:</t>
        </is>
      </c>
      <c r="BE55" s="203" t="n">
        <v>4</v>
      </c>
      <c r="BF55" s="0">
        <f>POISSON(BC55,$C$16,FALSE)*POISSON(BE55,$D$16,FALSE)</f>
        <v/>
      </c>
      <c r="BG55" s="0">
        <f>RANK(BF55,$BF$43:$BF$74,0)</f>
        <v/>
      </c>
      <c r="BH55" s="0">
        <f>IF(BH50=2,3,BH50)</f>
        <v/>
      </c>
      <c r="BJ55" s="0">
        <f>BJ22-$BJ$34</f>
        <v/>
      </c>
      <c r="BK55" s="0">
        <f>BK22-$BK$34</f>
        <v/>
      </c>
      <c r="BL55" s="0">
        <f>BJ55*BJ55</f>
        <v/>
      </c>
      <c r="BM55" s="0">
        <f>BK55*BK55</f>
        <v/>
      </c>
      <c r="BT55" s="218" t="inlineStr">
        <is>
          <t xml:space="preserve">decision </t>
        </is>
      </c>
      <c r="BU55" s="218">
        <f>IF(BU54&gt;0.525,"EVEN",IF(BT54&gt;0.53,"ODD","RUN"))</f>
        <v/>
      </c>
      <c r="BV55" s="217" t="n"/>
      <c r="CA55" s="0">
        <f>IF(OR(BZ57&gt;CA56,BZ57=CA56),"yes","no")</f>
        <v/>
      </c>
      <c r="CB55" s="201" t="n">
        <v>1</v>
      </c>
      <c r="CC55" s="202" t="inlineStr">
        <is>
          <t>:</t>
        </is>
      </c>
      <c r="CD55" s="203" t="n">
        <v>4</v>
      </c>
      <c r="CE55" s="0">
        <f>POISSON(CB55,$C$17,FALSE)*POISSON(CD55,$D$17,FALSE)</f>
        <v/>
      </c>
      <c r="CF55" s="0">
        <f>RANK(CE55,$CE$43:$CE$74,0)</f>
        <v/>
      </c>
      <c r="CG55" s="0">
        <f>IF(CG50=2,3,CG50)</f>
        <v/>
      </c>
      <c r="CS55" s="218" t="inlineStr">
        <is>
          <t xml:space="preserve">decision </t>
        </is>
      </c>
      <c r="CT55" s="218">
        <f>IF(CT54&gt;0.525,"EVEN",IF(CS54&gt;0.53,"ODD","RUN"))</f>
        <v/>
      </c>
      <c r="CU55" s="217" t="n"/>
      <c r="CZ55" s="0">
        <f>IF(OR(CY57&gt;CZ56,CY57=CZ56),"yes","no")</f>
        <v/>
      </c>
      <c r="DA55" s="201" t="n">
        <v>1</v>
      </c>
      <c r="DB55" s="202" t="inlineStr">
        <is>
          <t>:</t>
        </is>
      </c>
      <c r="DC55" s="203" t="n">
        <v>4</v>
      </c>
      <c r="DD55" s="0">
        <f>POISSON(DA55,$C$18,FALSE)*POISSON(DC55,$D$18,FALSE)</f>
        <v/>
      </c>
      <c r="DE55" s="0">
        <f>RANK(DD55,$DD$43:$DD$74,0)</f>
        <v/>
      </c>
      <c r="DF55" s="0">
        <f>IF(DF50=2,3,DF50)</f>
        <v/>
      </c>
      <c r="DR55" s="218" t="inlineStr">
        <is>
          <t xml:space="preserve">decision </t>
        </is>
      </c>
      <c r="DS55" s="218">
        <f>IF(DS54&gt;0.525,"EVEN",IF(DR54&gt;0.53,"ODD","RUN"))</f>
        <v/>
      </c>
      <c r="DT55" s="217" t="n"/>
    </row>
    <row r="56" ht="15.75" customHeight="1" s="276">
      <c r="D56" s="0">
        <f>MAX(C58:C60)</f>
        <v/>
      </c>
      <c r="E56" s="201" t="n">
        <v>2</v>
      </c>
      <c r="F56" s="202" t="inlineStr">
        <is>
          <t>:</t>
        </is>
      </c>
      <c r="G56" s="203" t="n">
        <v>4</v>
      </c>
      <c r="H56" s="0">
        <f>POISSON(E56,$C$14,FALSE)*POISSON(G56,$D$14,FALSE)</f>
        <v/>
      </c>
      <c r="I56" s="0">
        <f>RANK(H56,$H$43:$H$74,0)</f>
        <v/>
      </c>
      <c r="J56" s="0">
        <f>IF(J51=2,3,J51)</f>
        <v/>
      </c>
      <c r="L56" s="0">
        <f>(L22/$K$35)*100</f>
        <v/>
      </c>
      <c r="M56" s="0">
        <f>(M22/$K$35)*100</f>
        <v/>
      </c>
      <c r="N56" s="0">
        <f>L56-M56</f>
        <v/>
      </c>
      <c r="O56" s="0">
        <f>M56-L56</f>
        <v/>
      </c>
      <c r="AC56" s="0">
        <f>MAX(AB58:AB60)</f>
        <v/>
      </c>
      <c r="AD56" s="201" t="n">
        <v>2</v>
      </c>
      <c r="AE56" s="202" t="inlineStr">
        <is>
          <t>:</t>
        </is>
      </c>
      <c r="AF56" s="203" t="n">
        <v>4</v>
      </c>
      <c r="AG56" s="0">
        <f>POISSON(AD56,$C$15,FALSE)*POISSON(AF56,$D$15,FALSE)</f>
        <v/>
      </c>
      <c r="AH56" s="0">
        <f>RANK(AG56,$AG$43:$AG$74,0)</f>
        <v/>
      </c>
      <c r="AI56" s="0">
        <f>IF(AI51=2,3,AI51)</f>
        <v/>
      </c>
      <c r="AK56" s="0">
        <f>(AK22/$AJ$35)*100</f>
        <v/>
      </c>
      <c r="AL56" s="0">
        <f>(AL22/$AJ$35)*100</f>
        <v/>
      </c>
      <c r="AM56" s="0">
        <f>AK56-AL56</f>
        <v/>
      </c>
      <c r="BB56" s="0">
        <f>MAX(BA58:BA60)</f>
        <v/>
      </c>
      <c r="BC56" s="201" t="n">
        <v>2</v>
      </c>
      <c r="BD56" s="202" t="inlineStr">
        <is>
          <t>:</t>
        </is>
      </c>
      <c r="BE56" s="203" t="n">
        <v>4</v>
      </c>
      <c r="BF56" s="0">
        <f>POISSON(BC56,$C$16,FALSE)*POISSON(BE56,$D$16,FALSE)</f>
        <v/>
      </c>
      <c r="BG56" s="0">
        <f>RANK(BF56,$BF$43:$BF$74,0)</f>
        <v/>
      </c>
      <c r="BH56" s="0">
        <f>IF(BH51=2,3,BH51)</f>
        <v/>
      </c>
      <c r="BJ56" s="0">
        <f>BJ23-$BJ$34</f>
        <v/>
      </c>
      <c r="BK56" s="0">
        <f>BK23-$BK$34</f>
        <v/>
      </c>
      <c r="BL56" s="0">
        <f>BJ56*BJ56</f>
        <v/>
      </c>
      <c r="BM56" s="0">
        <f>BK56*BK56</f>
        <v/>
      </c>
      <c r="CA56" s="0">
        <f>MAX(BZ58:BZ60)</f>
        <v/>
      </c>
      <c r="CB56" s="201" t="n">
        <v>2</v>
      </c>
      <c r="CC56" s="202" t="inlineStr">
        <is>
          <t>:</t>
        </is>
      </c>
      <c r="CD56" s="203" t="n">
        <v>4</v>
      </c>
      <c r="CE56" s="0">
        <f>POISSON(CB56,$C$17,FALSE)*POISSON(CD56,$D$17,FALSE)</f>
        <v/>
      </c>
      <c r="CF56" s="0">
        <f>RANK(CE56,$CE$43:$CE$74,0)</f>
        <v/>
      </c>
      <c r="CG56" s="0">
        <f>IF(CG51=2,3,CG51)</f>
        <v/>
      </c>
      <c r="CZ56" s="0">
        <f>MAX(CY58:CY60)</f>
        <v/>
      </c>
      <c r="DA56" s="201" t="n">
        <v>2</v>
      </c>
      <c r="DB56" s="202" t="inlineStr">
        <is>
          <t>:</t>
        </is>
      </c>
      <c r="DC56" s="203" t="n">
        <v>4</v>
      </c>
      <c r="DD56" s="0">
        <f>POISSON(DA56,$C$18,FALSE)*POISSON(DC56,$D$18,FALSE)</f>
        <v/>
      </c>
      <c r="DE56" s="0">
        <f>RANK(DD56,$DD$43:$DD$74,0)</f>
        <v/>
      </c>
      <c r="DF56" s="0">
        <f>IF(DF51=2,3,DF51)</f>
        <v/>
      </c>
    </row>
    <row r="57" ht="15.75" customHeight="1" s="276">
      <c r="C57" s="0">
        <f>COUNTIF(D57:D66,"rountime")</f>
        <v/>
      </c>
      <c r="D57" s="0">
        <f>IF(I43=1,"draw",IF(I44=1,"away",IF(I45=1,"draw",IF(I46=1,"home",IF(I47=1,"away",IF(I48=1,"away",IF(I49=1,"home",IF(I50=1,"away",IF(I51=1,"draw",IF(I52=1,"home","rountime"))))))))))</f>
        <v/>
      </c>
      <c r="E57" s="201" t="n">
        <v>3</v>
      </c>
      <c r="F57" s="202" t="inlineStr">
        <is>
          <t>:</t>
        </is>
      </c>
      <c r="G57" s="203" t="n">
        <v>3</v>
      </c>
      <c r="H57" s="0">
        <f>POISSON(E57,$C$14,FALSE)*POISSON(G57,$D$14,FALSE)</f>
        <v/>
      </c>
      <c r="I57" s="0">
        <f>RANK(H57,$H$43:$H$74,0)</f>
        <v/>
      </c>
      <c r="J57" s="0">
        <f>SUM(J53:J56)</f>
        <v/>
      </c>
      <c r="L57" s="0">
        <f>(L23/$K$35)*100</f>
        <v/>
      </c>
      <c r="M57" s="0">
        <f>(M23/$K$35)*100</f>
        <v/>
      </c>
      <c r="N57" s="0">
        <f>L57-M57</f>
        <v/>
      </c>
      <c r="O57" s="0">
        <f>M57-L57</f>
        <v/>
      </c>
      <c r="AB57" s="0">
        <f>COUNTIF(AC57:AC66,"rountime")</f>
        <v/>
      </c>
      <c r="AC57" s="0">
        <f>IF(AH43=1,"draw",IF(AH44=1,"away",IF(AH45=1,"draw",IF(AH46=1,"home",IF(AH47=1,"away",IF(AH48=1,"away",IF(AH49=1,"home",IF(AH50=1,"away",IF(AH51=1,"draw",IF(AH52=1,"home","rountime"))))))))))</f>
        <v/>
      </c>
      <c r="AD57" s="201" t="n">
        <v>3</v>
      </c>
      <c r="AE57" s="202" t="inlineStr">
        <is>
          <t>:</t>
        </is>
      </c>
      <c r="AF57" s="203" t="n">
        <v>3</v>
      </c>
      <c r="AG57" s="0">
        <f>POISSON(AD57,$C$15,FALSE)*POISSON(AF57,$D$15,FALSE)</f>
        <v/>
      </c>
      <c r="AH57" s="0">
        <f>RANK(AG57,$AG$43:$AG$74,0)</f>
        <v/>
      </c>
      <c r="AI57" s="0">
        <f>SUM(AI53:AI56)</f>
        <v/>
      </c>
      <c r="AK57" s="0">
        <f>(AK23/$AJ$35)*100</f>
        <v/>
      </c>
      <c r="AL57" s="0">
        <f>(AL23/$AJ$35)*100</f>
        <v/>
      </c>
      <c r="AM57" s="0">
        <f>AK57-AL57</f>
        <v/>
      </c>
      <c r="BA57" s="0">
        <f>COUNTIF(BB57:BB66,"rountime")</f>
        <v/>
      </c>
      <c r="BB57" s="0">
        <f>IF(BG43=1,"draw",IF(BG44=1,"away",IF(BG45=1,"draw",IF(BG46=1,"home",IF(BG47=1,"away",IF(BG48=1,"away",IF(BG49=1,"home",IF(BG50=1,"away",IF(BG51=1,"draw",IF(BG52=1,"home","rountime"))))))))))</f>
        <v/>
      </c>
      <c r="BC57" s="201" t="n">
        <v>3</v>
      </c>
      <c r="BD57" s="202" t="inlineStr">
        <is>
          <t>:</t>
        </is>
      </c>
      <c r="BE57" s="203" t="n">
        <v>3</v>
      </c>
      <c r="BF57" s="0">
        <f>POISSON(BC57,$C$16,FALSE)*POISSON(BE57,$D$16,FALSE)</f>
        <v/>
      </c>
      <c r="BG57" s="0">
        <f>RANK(BF57,$BF$43:$BF$74,0)</f>
        <v/>
      </c>
      <c r="BH57" s="0">
        <f>SUM(BH53:BH56)</f>
        <v/>
      </c>
      <c r="BJ57" s="0">
        <f>BJ24-$BJ$34</f>
        <v/>
      </c>
      <c r="BK57" s="0">
        <f>BK24-$BK$34</f>
        <v/>
      </c>
      <c r="BL57" s="0">
        <f>BJ57*BJ57</f>
        <v/>
      </c>
      <c r="BM57" s="0">
        <f>BK57*BK57</f>
        <v/>
      </c>
      <c r="BZ57" s="0">
        <f>COUNTIF(CA57:CA66,"rountime")</f>
        <v/>
      </c>
      <c r="CA57" s="0">
        <f>IF(CF43=1,"draw",IF(CF44=1,"away",IF(CF45=1,"draw",IF(CF46=1,"home",IF(CF47=1,"away",IF(CF48=1,"away",IF(CF49=1,"home",IF(CF50=1,"away",IF(CF51=1,"draw",IF(CF52=1,"home","rountime"))))))))))</f>
        <v/>
      </c>
      <c r="CB57" s="201" t="n">
        <v>3</v>
      </c>
      <c r="CC57" s="202" t="inlineStr">
        <is>
          <t>:</t>
        </is>
      </c>
      <c r="CD57" s="203" t="n">
        <v>3</v>
      </c>
      <c r="CE57" s="0">
        <f>POISSON(CB57,$C$17,FALSE)*POISSON(CD57,$D$17,FALSE)</f>
        <v/>
      </c>
      <c r="CF57" s="0">
        <f>RANK(CE57,$CE$43:$CE$74,0)</f>
        <v/>
      </c>
      <c r="CG57" s="0">
        <f>SUM(CG53:CG56)</f>
        <v/>
      </c>
      <c r="CY57" s="0">
        <f>COUNTIF(CZ57:CZ66,"rountime")</f>
        <v/>
      </c>
      <c r="CZ57" s="0">
        <f>IF(DE43=1,"draw",IF(DE44=1,"away",IF(DE45=1,"draw",IF(DE46=1,"home",IF(DE47=1,"away",IF(DE48=1,"away",IF(DE49=1,"home",IF(DE50=1,"away",IF(DE51=1,"draw",IF(DE52=1,"home","rountime"))))))))))</f>
        <v/>
      </c>
      <c r="DA57" s="201" t="n">
        <v>3</v>
      </c>
      <c r="DB57" s="202" t="inlineStr">
        <is>
          <t>:</t>
        </is>
      </c>
      <c r="DC57" s="203" t="n">
        <v>3</v>
      </c>
      <c r="DD57" s="0">
        <f>POISSON(DA57,$C$18,FALSE)*POISSON(DC57,$D$18,FALSE)</f>
        <v/>
      </c>
      <c r="DE57" s="0">
        <f>RANK(DD57,$DD$43:$DD$74,0)</f>
        <v/>
      </c>
      <c r="DF57" s="0">
        <f>SUM(DF53:DF56)</f>
        <v/>
      </c>
    </row>
    <row r="58" ht="15.75" customHeight="1" s="276">
      <c r="C58" s="0">
        <f>COUNTIF(D57:D66,"home")</f>
        <v/>
      </c>
      <c r="D58" s="0">
        <f>IF(I43=2,"draw",IF(I44=2,"away",IF(I45=2,"draw",IF(I46=2,"home",IF(I47=2,"away",IF(I48=2,"away",IF(I49=2,"home",IF(I50=2,"away",IF(I51=2,"draw",IF(I52=2,"home","rountime"))))))))))</f>
        <v/>
      </c>
      <c r="E58" s="201" t="n">
        <v>4</v>
      </c>
      <c r="F58" s="202" t="inlineStr">
        <is>
          <t>:</t>
        </is>
      </c>
      <c r="G58" s="203" t="n">
        <v>1</v>
      </c>
      <c r="H58" s="0">
        <f>POISSON(E58,$C$14,FALSE)*POISSON(G58,$D$14,FALSE)</f>
        <v/>
      </c>
      <c r="I58" s="0">
        <f>RANK(H58,$H$43:$H$74,0)</f>
        <v/>
      </c>
      <c r="L58" s="0">
        <f>(L24/$K$35)*100</f>
        <v/>
      </c>
      <c r="M58" s="0">
        <f>(M24/$K$35)*100</f>
        <v/>
      </c>
      <c r="N58" s="0">
        <f>L58-M58</f>
        <v/>
      </c>
      <c r="O58" s="0">
        <f>M58-L58</f>
        <v/>
      </c>
      <c r="AB58" s="0">
        <f>COUNTIF(AC57:AC66,"home")</f>
        <v/>
      </c>
      <c r="AC58" s="0">
        <f>IF(AH43=2,"draw",IF(AH44=2,"away",IF(AH45=2,"draw",IF(AH46=2,"home",IF(AH47=2,"away",IF(AH48=2,"away",IF(AH49=2,"home",IF(AH50=2,"away",IF(AH51=2,"draw",IF(AH52=2,"home","rountime"))))))))))</f>
        <v/>
      </c>
      <c r="AD58" s="201" t="n">
        <v>4</v>
      </c>
      <c r="AE58" s="202" t="inlineStr">
        <is>
          <t>:</t>
        </is>
      </c>
      <c r="AF58" s="203" t="n">
        <v>1</v>
      </c>
      <c r="AG58" s="0">
        <f>POISSON(AD58,$C$15,FALSE)*POISSON(AF58,$D$15,FALSE)</f>
        <v/>
      </c>
      <c r="AH58" s="0">
        <f>RANK(AG58,$AG$43:$AG$74,0)</f>
        <v/>
      </c>
      <c r="AK58" s="0">
        <f>(AK24/$AJ$35)*100</f>
        <v/>
      </c>
      <c r="AL58" s="0">
        <f>(AL24/$AJ$35)*100</f>
        <v/>
      </c>
      <c r="AM58" s="0">
        <f>AK58-AL58</f>
        <v/>
      </c>
      <c r="BA58" s="0">
        <f>COUNTIF(BB57:BB66,"home")</f>
        <v/>
      </c>
      <c r="BB58" s="0">
        <f>IF(BG43=2,"draw",IF(BG44=2,"away",IF(BG45=2,"draw",IF(BG46=2,"home",IF(BG47=2,"away",IF(BG48=2,"away",IF(BG49=2,"home",IF(BG50=2,"away",IF(BG51=2,"draw",IF(BG52=2,"home","rountime"))))))))))</f>
        <v/>
      </c>
      <c r="BC58" s="201" t="n">
        <v>4</v>
      </c>
      <c r="BD58" s="202" t="inlineStr">
        <is>
          <t>:</t>
        </is>
      </c>
      <c r="BE58" s="203" t="n">
        <v>1</v>
      </c>
      <c r="BF58" s="0">
        <f>POISSON(BC58,$C$16,FALSE)*POISSON(BE58,$D$16,FALSE)</f>
        <v/>
      </c>
      <c r="BG58" s="0">
        <f>RANK(BF58,$BF$43:$BF$74,0)</f>
        <v/>
      </c>
      <c r="BJ58" s="0">
        <f>BJ25-$BJ$34</f>
        <v/>
      </c>
      <c r="BK58" s="0">
        <f>BK25-$BK$34</f>
        <v/>
      </c>
      <c r="BL58" s="0">
        <f>BJ58*BJ58</f>
        <v/>
      </c>
      <c r="BM58" s="0">
        <f>BK58*BK58</f>
        <v/>
      </c>
      <c r="BZ58" s="0">
        <f>COUNTIF(CA57:CA66,"home")</f>
        <v/>
      </c>
      <c r="CA58" s="0">
        <f>IF(CF43=2,"draw",IF(CF44=2,"away",IF(CF45=2,"draw",IF(CF46=2,"home",IF(CF47=2,"away",IF(CF48=2,"away",IF(CF49=2,"home",IF(CF50=2,"away",IF(CF51=2,"draw",IF(CF52=2,"home","rountime"))))))))))</f>
        <v/>
      </c>
      <c r="CB58" s="201" t="n">
        <v>4</v>
      </c>
      <c r="CC58" s="202" t="inlineStr">
        <is>
          <t>:</t>
        </is>
      </c>
      <c r="CD58" s="203" t="n">
        <v>1</v>
      </c>
      <c r="CE58" s="0">
        <f>POISSON(CB58,$C$17,FALSE)*POISSON(CD58,$D$17,FALSE)</f>
        <v/>
      </c>
      <c r="CF58" s="0">
        <f>RANK(CE58,$CE$43:$CE$74,0)</f>
        <v/>
      </c>
      <c r="CY58" s="0">
        <f>COUNTIF(CZ57:CZ66,"home")</f>
        <v/>
      </c>
      <c r="CZ58" s="0">
        <f>IF(DE43=2,"draw",IF(DE44=2,"away",IF(DE45=2,"draw",IF(DE46=2,"home",IF(DE47=2,"away",IF(DE48=2,"away",IF(DE49=2,"home",IF(DE50=2,"away",IF(DE51=2,"draw",IF(DE52=2,"home","rountime"))))))))))</f>
        <v/>
      </c>
      <c r="DA58" s="201" t="n">
        <v>4</v>
      </c>
      <c r="DB58" s="202" t="inlineStr">
        <is>
          <t>:</t>
        </is>
      </c>
      <c r="DC58" s="203" t="n">
        <v>1</v>
      </c>
      <c r="DD58" s="0">
        <f>POISSON(DA58,$C$18,FALSE)*POISSON(DC58,$D$18,FALSE)</f>
        <v/>
      </c>
      <c r="DE58" s="0">
        <f>RANK(DD58,$DD$43:$DD$74,0)</f>
        <v/>
      </c>
    </row>
    <row r="59" ht="15.75" customHeight="1" s="276">
      <c r="C59" s="0">
        <f>COUNTIF(D57:D66,"draw")</f>
        <v/>
      </c>
      <c r="D59" s="0">
        <f>IF(I43=3,"draw",IF(I44=3,"away",IF(I45=3,"draw",IF(I46=3,"home",IF(I47=3,"away",IF(I48=3,"away",IF(I49=3,"home",IF(I50=3,"away",IF(I51=3,"draw",IF(I52=3,"home","rountime"))))))))))</f>
        <v/>
      </c>
      <c r="E59" s="201" t="n">
        <v>4</v>
      </c>
      <c r="F59" s="202" t="inlineStr">
        <is>
          <t>:</t>
        </is>
      </c>
      <c r="G59" s="203" t="n">
        <v>0</v>
      </c>
      <c r="H59" s="0">
        <f>POISSON(E59,$C$14,FALSE)*POISSON(G59,$D$14,FALSE)</f>
        <v/>
      </c>
      <c r="I59" s="0">
        <f>RANK(H59,$H$43:$H$74,0)</f>
        <v/>
      </c>
      <c r="J59" s="0">
        <f>COUNTIF(J53:J56,MIN(1))</f>
        <v/>
      </c>
      <c r="L59" s="0">
        <f>(L25/$K$35)*100</f>
        <v/>
      </c>
      <c r="M59" s="0">
        <f>(M25/$K$35)*100</f>
        <v/>
      </c>
      <c r="N59" s="0">
        <f>L59-M59</f>
        <v/>
      </c>
      <c r="O59" s="0">
        <f>M59-L59</f>
        <v/>
      </c>
      <c r="AB59" s="0">
        <f>COUNTIF(AC57:AC66,"draw")</f>
        <v/>
      </c>
      <c r="AC59" s="0">
        <f>IF(AH43=3,"draw",IF(AH44=3,"away",IF(AH45=3,"draw",IF(AH46=3,"home",IF(AH47=3,"away",IF(AH48=3,"away",IF(AH49=3,"home",IF(AH50=3,"away",IF(AH51=3,"draw",IF(AH52=3,"home","rountime"))))))))))</f>
        <v/>
      </c>
      <c r="AD59" s="201" t="n">
        <v>4</v>
      </c>
      <c r="AE59" s="202" t="inlineStr">
        <is>
          <t>:</t>
        </is>
      </c>
      <c r="AF59" s="203" t="n">
        <v>0</v>
      </c>
      <c r="AG59" s="0">
        <f>POISSON(AD59,$C$15,FALSE)*POISSON(AF59,$D$15,FALSE)</f>
        <v/>
      </c>
      <c r="AH59" s="0">
        <f>RANK(AG59,$AG$43:$AG$74,0)</f>
        <v/>
      </c>
      <c r="AI59" s="0">
        <f>COUNTIF(AI53:AI56,MIN(1))</f>
        <v/>
      </c>
      <c r="AK59" s="0">
        <f>(AK25/$AJ$35)*100</f>
        <v/>
      </c>
      <c r="AL59" s="0">
        <f>(AL25/$AJ$35)*100</f>
        <v/>
      </c>
      <c r="AM59" s="0">
        <f>AK59-AL59</f>
        <v/>
      </c>
      <c r="BA59" s="0">
        <f>COUNTIF(BB57:BB66,"draw")</f>
        <v/>
      </c>
      <c r="BB59" s="0">
        <f>IF(BG43=3,"draw",IF(BG44=3,"away",IF(BG45=3,"draw",IF(BG46=3,"home",IF(BG47=3,"away",IF(BG48=3,"away",IF(BG49=3,"home",IF(BG50=3,"away",IF(BG51=3,"draw",IF(BG52=3,"home","rountime"))))))))))</f>
        <v/>
      </c>
      <c r="BC59" s="201" t="n">
        <v>4</v>
      </c>
      <c r="BD59" s="202" t="inlineStr">
        <is>
          <t>:</t>
        </is>
      </c>
      <c r="BE59" s="203" t="n">
        <v>0</v>
      </c>
      <c r="BF59" s="0">
        <f>POISSON(BC59,$C$16,FALSE)*POISSON(BE59,$D$16,FALSE)</f>
        <v/>
      </c>
      <c r="BG59" s="0">
        <f>RANK(BF59,$BF$43:$BF$74,0)</f>
        <v/>
      </c>
      <c r="BH59" s="0">
        <f>COUNTIF(BH53:BH56,MIN(1))</f>
        <v/>
      </c>
      <c r="BJ59" s="0">
        <f>BJ26-$BJ$34</f>
        <v/>
      </c>
      <c r="BK59" s="0">
        <f>BK26-$BK$34</f>
        <v/>
      </c>
      <c r="BL59" s="0">
        <f>BJ59*BJ59</f>
        <v/>
      </c>
      <c r="BM59" s="0">
        <f>BK59*BK59</f>
        <v/>
      </c>
      <c r="BZ59" s="0">
        <f>COUNTIF(CA57:CA66,"draw")</f>
        <v/>
      </c>
      <c r="CA59" s="0">
        <f>IF(CF43=3,"draw",IF(CF44=3,"away",IF(CF45=3,"draw",IF(CF46=3,"home",IF(CF47=3,"away",IF(CF48=3,"away",IF(CF49=3,"home",IF(CF50=3,"away",IF(CF51=3,"draw",IF(CF52=3,"home","rountime"))))))))))</f>
        <v/>
      </c>
      <c r="CB59" s="201" t="n">
        <v>4</v>
      </c>
      <c r="CC59" s="202" t="inlineStr">
        <is>
          <t>:</t>
        </is>
      </c>
      <c r="CD59" s="203" t="n">
        <v>0</v>
      </c>
      <c r="CE59" s="0">
        <f>POISSON(CB59,$C$17,FALSE)*POISSON(CD59,$D$17,FALSE)</f>
        <v/>
      </c>
      <c r="CF59" s="0">
        <f>RANK(CE59,$CE$43:$CE$74,0)</f>
        <v/>
      </c>
      <c r="CG59" s="0">
        <f>COUNTIF(CG53:CG56,MIN(1))</f>
        <v/>
      </c>
      <c r="CY59" s="0">
        <f>COUNTIF(CZ57:CZ66,"draw")</f>
        <v/>
      </c>
      <c r="CZ59" s="0">
        <f>IF(DE43=3,"draw",IF(DE44=3,"away",IF(DE45=3,"draw",IF(DE46=3,"home",IF(DE47=3,"away",IF(DE48=3,"away",IF(DE49=3,"home",IF(DE50=3,"away",IF(DE51=3,"draw",IF(DE52=3,"home","rountime"))))))))))</f>
        <v/>
      </c>
      <c r="DA59" s="201" t="n">
        <v>4</v>
      </c>
      <c r="DB59" s="202" t="inlineStr">
        <is>
          <t>:</t>
        </is>
      </c>
      <c r="DC59" s="203" t="n">
        <v>0</v>
      </c>
      <c r="DD59" s="0">
        <f>POISSON(DA59,$C$18,FALSE)*POISSON(DC59,$D$18,FALSE)</f>
        <v/>
      </c>
      <c r="DE59" s="0">
        <f>RANK(DD59,$DD$43:$DD$74,0)</f>
        <v/>
      </c>
      <c r="DF59" s="0">
        <f>COUNTIF(DF53:DF56,MIN(1))</f>
        <v/>
      </c>
    </row>
    <row r="60" ht="15.75" customHeight="1" s="276">
      <c r="C60" s="0">
        <f>COUNTIF(D57:D66,"away")</f>
        <v/>
      </c>
      <c r="D60" s="0">
        <f>IF(I43=4,"draw",IF(I44=4,"away",IF(I45=4,"draw",IF(I46=4,"home",IF(I47=4,"away",IF(I48=4,"away",IF(I49=4,"home",IF(I50=4,"away",IF(I51=4,"draw",IF(I52=4,"home","rountime"))))))))))</f>
        <v/>
      </c>
      <c r="E60" s="201" t="n">
        <v>4</v>
      </c>
      <c r="F60" s="202" t="inlineStr">
        <is>
          <t>:</t>
        </is>
      </c>
      <c r="G60" s="203" t="n">
        <v>2</v>
      </c>
      <c r="H60" s="0">
        <f>POISSON(E60,$C$14,FALSE)*POISSON(G60,$D$14,FALSE)</f>
        <v/>
      </c>
      <c r="I60" s="0">
        <f>RANK(H60,$H$43:$H$74,0)</f>
        <v/>
      </c>
      <c r="J60" s="0">
        <f>COUNTIF(J48:J51,3)</f>
        <v/>
      </c>
      <c r="L60" s="0">
        <f>(L26/$K$35)*100</f>
        <v/>
      </c>
      <c r="M60" s="0">
        <f>(M26/$K$35)*100</f>
        <v/>
      </c>
      <c r="N60" s="0">
        <f>L60-M60</f>
        <v/>
      </c>
      <c r="O60" s="0">
        <f>M60-L60</f>
        <v/>
      </c>
      <c r="AB60" s="0">
        <f>COUNTIF(AC57:AC66,"away")</f>
        <v/>
      </c>
      <c r="AC60" s="0">
        <f>IF(AH43=4,"draw",IF(AH44=4,"away",IF(AH45=4,"draw",IF(AH46=4,"home",IF(AH47=4,"away",IF(AH48=4,"away",IF(AH49=4,"home",IF(AH50=4,"away",IF(AH51=4,"draw",IF(AH52=4,"home","rountime"))))))))))</f>
        <v/>
      </c>
      <c r="AD60" s="201" t="n">
        <v>4</v>
      </c>
      <c r="AE60" s="202" t="inlineStr">
        <is>
          <t>:</t>
        </is>
      </c>
      <c r="AF60" s="203" t="n">
        <v>2</v>
      </c>
      <c r="AG60" s="0">
        <f>POISSON(AD60,$C$15,FALSE)*POISSON(AF60,$D$15,FALSE)</f>
        <v/>
      </c>
      <c r="AH60" s="0">
        <f>RANK(AG60,$AG$43:$AG$74,0)</f>
        <v/>
      </c>
      <c r="AI60" s="0">
        <f>COUNTIF(AI48:AI51,3)</f>
        <v/>
      </c>
      <c r="AK60" s="0">
        <f>(AK26/$AJ$35)*100</f>
        <v/>
      </c>
      <c r="AL60" s="0">
        <f>(AL26/$AJ$35)*100</f>
        <v/>
      </c>
      <c r="AM60" s="0">
        <f>AK60-AL60</f>
        <v/>
      </c>
      <c r="BA60" s="0">
        <f>COUNTIF(BB57:BB66,"away")</f>
        <v/>
      </c>
      <c r="BB60" s="0">
        <f>IF(BG43=4,"draw",IF(BG44=4,"away",IF(BG45=4,"draw",IF(BG46=4,"home",IF(BG47=4,"away",IF(BG48=4,"away",IF(BG49=4,"home",IF(BG50=4,"away",IF(BG51=4,"draw",IF(BG52=4,"home","rountime"))))))))))</f>
        <v/>
      </c>
      <c r="BC60" s="201" t="n">
        <v>4</v>
      </c>
      <c r="BD60" s="202" t="inlineStr">
        <is>
          <t>:</t>
        </is>
      </c>
      <c r="BE60" s="203" t="n">
        <v>2</v>
      </c>
      <c r="BF60" s="0">
        <f>POISSON(BC60,$C$16,FALSE)*POISSON(BE60,$D$16,FALSE)</f>
        <v/>
      </c>
      <c r="BG60" s="0">
        <f>RANK(BF60,$BF$43:$BF$74,0)</f>
        <v/>
      </c>
      <c r="BH60" s="0">
        <f>COUNTIF(BH48:BH51,3)</f>
        <v/>
      </c>
      <c r="BJ60" s="0">
        <f>BJ27-$BJ$34</f>
        <v/>
      </c>
      <c r="BK60" s="0">
        <f>BK27-$BK$34</f>
        <v/>
      </c>
      <c r="BL60" s="0">
        <f>BJ60*BJ60</f>
        <v/>
      </c>
      <c r="BM60" s="0">
        <f>BK60*BK60</f>
        <v/>
      </c>
      <c r="BZ60" s="0">
        <f>COUNTIF(CA57:CA66,"away")</f>
        <v/>
      </c>
      <c r="CA60" s="0">
        <f>IF(CF43=4,"draw",IF(CF44=4,"away",IF(CF45=4,"draw",IF(CF46=4,"home",IF(CF47=4,"away",IF(CF48=4,"away",IF(CF49=4,"home",IF(CF50=4,"away",IF(CF51=4,"draw",IF(CF52=4,"home","rountime"))))))))))</f>
        <v/>
      </c>
      <c r="CB60" s="201" t="n">
        <v>4</v>
      </c>
      <c r="CC60" s="202" t="inlineStr">
        <is>
          <t>:</t>
        </is>
      </c>
      <c r="CD60" s="203" t="n">
        <v>2</v>
      </c>
      <c r="CE60" s="0">
        <f>POISSON(CB60,$C$17,FALSE)*POISSON(CD60,$D$17,FALSE)</f>
        <v/>
      </c>
      <c r="CF60" s="0">
        <f>RANK(CE60,$CE$43:$CE$74,0)</f>
        <v/>
      </c>
      <c r="CG60" s="0">
        <f>COUNTIF(CG48:CG51,3)</f>
        <v/>
      </c>
      <c r="CY60" s="0">
        <f>COUNTIF(CZ57:CZ66,"away")</f>
        <v/>
      </c>
      <c r="CZ60" s="0">
        <f>IF(DE43=4,"draw",IF(DE44=4,"away",IF(DE45=4,"draw",IF(DE46=4,"home",IF(DE47=4,"away",IF(DE48=4,"away",IF(DE49=4,"home",IF(DE50=4,"away",IF(DE51=4,"draw",IF(DE52=4,"home","rountime"))))))))))</f>
        <v/>
      </c>
      <c r="DA60" s="201" t="n">
        <v>4</v>
      </c>
      <c r="DB60" s="202" t="inlineStr">
        <is>
          <t>:</t>
        </is>
      </c>
      <c r="DC60" s="203" t="n">
        <v>2</v>
      </c>
      <c r="DD60" s="0">
        <f>POISSON(DA60,$C$18,FALSE)*POISSON(DC60,$D$18,FALSE)</f>
        <v/>
      </c>
      <c r="DE60" s="0">
        <f>RANK(DD60,$DD$43:$DD$74,0)</f>
        <v/>
      </c>
      <c r="DF60" s="0">
        <f>COUNTIF(DF48:DF51,3)</f>
        <v/>
      </c>
    </row>
    <row r="61" ht="15.75" customHeight="1" s="276">
      <c r="D61" s="0">
        <f>IF(I43=5,"draw",IF(I44=5,"away",IF(I45=5,"draw",IF(I46=5,"home",IF(I47=5,"away",IF(I48=5,"away",IF(I49=5,"home",IF(I50=5,"away",IF(I51=5,"draw",IF(I52=5,"home","rountime"))))))))))</f>
        <v/>
      </c>
      <c r="E61" s="201" t="n">
        <v>3</v>
      </c>
      <c r="F61" s="202" t="inlineStr">
        <is>
          <t>:</t>
        </is>
      </c>
      <c r="G61" s="203" t="n">
        <v>4</v>
      </c>
      <c r="H61" s="0">
        <f>POISSON(E61,$C$14,FALSE)*POISSON(G61,$D$14,FALSE)</f>
        <v/>
      </c>
      <c r="I61" s="0">
        <f>RANK(H61,$H$43:$H$74,0)</f>
        <v/>
      </c>
      <c r="J61" s="0">
        <f>COUNTIF(J48:J51,2)</f>
        <v/>
      </c>
      <c r="L61" s="0">
        <f>(L27/$K$35)*100</f>
        <v/>
      </c>
      <c r="M61" s="0">
        <f>(M27/$K$35)*100</f>
        <v/>
      </c>
      <c r="N61" s="0">
        <f>L61-M61</f>
        <v/>
      </c>
      <c r="O61" s="0">
        <f>M61-L61</f>
        <v/>
      </c>
      <c r="AC61" s="0">
        <f>IF(AH43=5,"draw",IF(AH44=5,"away",IF(AH45=5,"draw",IF(AH46=5,"home",IF(AH47=5,"away",IF(AH48=5,"away",IF(AH49=5,"home",IF(AH50=5,"away",IF(AH51=5,"draw",IF(AH52=5,"home","rountime"))))))))))</f>
        <v/>
      </c>
      <c r="AD61" s="201" t="n">
        <v>3</v>
      </c>
      <c r="AE61" s="202" t="inlineStr">
        <is>
          <t>:</t>
        </is>
      </c>
      <c r="AF61" s="203" t="n">
        <v>4</v>
      </c>
      <c r="AG61" s="0">
        <f>POISSON(AD61,$C$15,FALSE)*POISSON(AF61,$D$15,FALSE)</f>
        <v/>
      </c>
      <c r="AH61" s="0">
        <f>RANK(AG61,$AG$43:$AG$74,0)</f>
        <v/>
      </c>
      <c r="AI61" s="0">
        <f>COUNTIF(AI48:AI51,2)</f>
        <v/>
      </c>
      <c r="AK61" s="0">
        <f>(AK27/$AJ$35)*100</f>
        <v/>
      </c>
      <c r="AL61" s="0">
        <f>(AL27/$AJ$35)*100</f>
        <v/>
      </c>
      <c r="AM61" s="0">
        <f>AK61-AL61</f>
        <v/>
      </c>
      <c r="BB61" s="0">
        <f>IF(BG43=5,"draw",IF(BG44=5,"away",IF(BG45=5,"draw",IF(BG46=5,"home",IF(BG47=5,"away",IF(BG48=5,"away",IF(BG49=5,"home",IF(BG50=5,"away",IF(BG51=5,"draw",IF(BG52=5,"home","rountime"))))))))))</f>
        <v/>
      </c>
      <c r="BC61" s="201" t="n">
        <v>3</v>
      </c>
      <c r="BD61" s="202" t="inlineStr">
        <is>
          <t>:</t>
        </is>
      </c>
      <c r="BE61" s="203" t="n">
        <v>4</v>
      </c>
      <c r="BF61" s="0">
        <f>POISSON(BC61,$C$16,FALSE)*POISSON(BE61,$D$16,FALSE)</f>
        <v/>
      </c>
      <c r="BG61" s="0">
        <f>RANK(BF61,$BF$43:$BF$74,0)</f>
        <v/>
      </c>
      <c r="BH61" s="0">
        <f>COUNTIF(BH48:BH51,2)</f>
        <v/>
      </c>
      <c r="BJ61" s="0">
        <f>BJ28-$BJ$34</f>
        <v/>
      </c>
      <c r="BK61" s="0">
        <f>BK28-$BK$34</f>
        <v/>
      </c>
      <c r="BL61" s="0">
        <f>BJ61*BJ61</f>
        <v/>
      </c>
      <c r="BM61" s="0">
        <f>BK61*BK61</f>
        <v/>
      </c>
      <c r="CA61" s="0">
        <f>IF(CF43=5,"draw",IF(CF44=5,"away",IF(CF45=5,"draw",IF(CF46=5,"home",IF(CF47=5,"away",IF(CF48=5,"away",IF(CF49=5,"home",IF(CF50=5,"away",IF(CF51=5,"draw",IF(CF52=5,"home","rountime"))))))))))</f>
        <v/>
      </c>
      <c r="CB61" s="201" t="n">
        <v>3</v>
      </c>
      <c r="CC61" s="202" t="inlineStr">
        <is>
          <t>:</t>
        </is>
      </c>
      <c r="CD61" s="203" t="n">
        <v>4</v>
      </c>
      <c r="CE61" s="0">
        <f>POISSON(CB61,$C$17,FALSE)*POISSON(CD61,$D$17,FALSE)</f>
        <v/>
      </c>
      <c r="CF61" s="0">
        <f>RANK(CE61,$CE$43:$CE$74,0)</f>
        <v/>
      </c>
      <c r="CG61" s="0">
        <f>COUNTIF(CG48:CG51,2)</f>
        <v/>
      </c>
      <c r="CZ61" s="0">
        <f>IF(DE43=5,"draw",IF(DE44=5,"away",IF(DE45=5,"draw",IF(DE46=5,"home",IF(DE47=5,"away",IF(DE48=5,"away",IF(DE49=5,"home",IF(DE50=5,"away",IF(DE51=5,"draw",IF(DE52=5,"home","rountime"))))))))))</f>
        <v/>
      </c>
      <c r="DA61" s="201" t="n">
        <v>3</v>
      </c>
      <c r="DB61" s="202" t="inlineStr">
        <is>
          <t>:</t>
        </is>
      </c>
      <c r="DC61" s="203" t="n">
        <v>4</v>
      </c>
      <c r="DD61" s="0">
        <f>POISSON(DA61,$C$18,FALSE)*POISSON(DC61,$D$18,FALSE)</f>
        <v/>
      </c>
      <c r="DE61" s="0">
        <f>RANK(DD61,$DD$43:$DD$74,0)</f>
        <v/>
      </c>
      <c r="DF61" s="0">
        <f>COUNTIF(DF48:DF51,2)</f>
        <v/>
      </c>
    </row>
    <row r="62" ht="15.75" customHeight="1" s="276">
      <c r="D62" s="0">
        <f>IF(I43=6,"draw",IF(I44=6,"away",IF(I45=6,"draw",IF(I46=6,"home",IF(I47=6,"away",IF(I48=6,"away",IF(I49=6,"home",IF(I50=6,"away",IF(I51=6,"draw",IF(I52=6,"home","rountime"))))))))))</f>
        <v/>
      </c>
      <c r="E62" s="201" t="n">
        <v>2</v>
      </c>
      <c r="F62" s="202" t="inlineStr">
        <is>
          <t>:</t>
        </is>
      </c>
      <c r="G62" s="203" t="n">
        <v>5</v>
      </c>
      <c r="H62" s="0">
        <f>POISSON(E62,$C$14,FALSE)*POISSON(G62,$D$14,FALSE)</f>
        <v/>
      </c>
      <c r="I62" s="0">
        <f>RANK(H62,$H$43:$H$74,0)</f>
        <v/>
      </c>
      <c r="J62" s="0">
        <f>IF(AND(J65&gt;0,J65=J59,OR(J65=J60,J65=J61)),"overD",IF(AND(J65&gt;J59,J65&gt;J60,J65&gt;J61),"over",IF(AND(J59&gt;1,OR(J59=J60,J59=J61)),"Draw",IF(AND(J59&gt;J60,J60&gt;J61),"x2",IF(AND(J59&gt;J61,J61&gt;J60),"1x",IF(J61&gt;J60,"home",IF(J60&gt;J61,"away","draw")))))))</f>
        <v/>
      </c>
      <c r="L62" s="0">
        <f>(L28/$K$35)*100</f>
        <v/>
      </c>
      <c r="M62" s="0">
        <f>(M28/$K$35)*100</f>
        <v/>
      </c>
      <c r="N62" s="0">
        <f>L62-M62</f>
        <v/>
      </c>
      <c r="O62" s="0">
        <f>M62-L62</f>
        <v/>
      </c>
      <c r="AC62" s="0">
        <f>IF(AH43=6,"draw",IF(AH44=6,"away",IF(AH45=6,"draw",IF(AH46=6,"home",IF(AH47=6,"away",IF(AH48=6,"away",IF(AH49=6,"home",IF(AH50=6,"away",IF(AH51=6,"draw",IF(AH52=6,"home","rountime"))))))))))</f>
        <v/>
      </c>
      <c r="AD62" s="201" t="n">
        <v>2</v>
      </c>
      <c r="AE62" s="202" t="inlineStr">
        <is>
          <t>:</t>
        </is>
      </c>
      <c r="AF62" s="203" t="n">
        <v>5</v>
      </c>
      <c r="AG62" s="0">
        <f>POISSON(AD62,$C$15,FALSE)*POISSON(AF62,$D$15,FALSE)</f>
        <v/>
      </c>
      <c r="AH62" s="0">
        <f>RANK(AG62,$AG$43:$AG$74,0)</f>
        <v/>
      </c>
      <c r="AI62" s="0">
        <f>IF(AND(AI65&gt;0,AI65=AI59,OR(AI65=AI60,AI65=AI61)),"overD",IF(AND(AI65&gt;AI59,AI65&gt;AI60,AI65&gt;AI61),"over",IF(AND(AI59&gt;1,OR(AI59=AI60,AI59=AI61)),"Draw",IF(AND(AI59&gt;AI60,AI60&gt;AI61),"x2",IF(AND(AI59&gt;AI61,AI61&gt;AI60),"1x",IF(AI61&gt;AI60,"home",IF(AI60&gt;AI61,"away","draw")))))))</f>
        <v/>
      </c>
      <c r="AK62" s="0">
        <f>(AK28/$AJ$35)*100</f>
        <v/>
      </c>
      <c r="AL62" s="0">
        <f>(AL28/$AJ$35)*100</f>
        <v/>
      </c>
      <c r="AM62" s="0">
        <f>AK62-AL62</f>
        <v/>
      </c>
      <c r="BB62" s="0">
        <f>IF(BG43=6,"draw",IF(BG44=6,"away",IF(BG45=6,"draw",IF(BG46=6,"home",IF(BG47=6,"away",IF(BG48=6,"away",IF(BG49=6,"home",IF(BG50=6,"away",IF(BG51=6,"draw",IF(BG52=6,"home","rountime"))))))))))</f>
        <v/>
      </c>
      <c r="BC62" s="201" t="n">
        <v>2</v>
      </c>
      <c r="BD62" s="202" t="inlineStr">
        <is>
          <t>:</t>
        </is>
      </c>
      <c r="BE62" s="203" t="n">
        <v>5</v>
      </c>
      <c r="BF62" s="0">
        <f>POISSON(BC62,$C$16,FALSE)*POISSON(BE62,$D$16,FALSE)</f>
        <v/>
      </c>
      <c r="BG62" s="0">
        <f>RANK(BF62,$BF$43:$BF$74,0)</f>
        <v/>
      </c>
      <c r="BH62" s="0">
        <f>IF(AND(BH65&gt;0,BH65=BH59,OR(BH65=BH60,BH65=BH61)),"overD",IF(AND(BH65&gt;BH59,BH65&gt;BH60,BH65&gt;BH61),"over",IF(AND(BH59&gt;1,OR(BH59=BH60,BH59=BH61)),"Draw",IF(AND(BH59&gt;BH60,BH60&gt;BH61),"x2",IF(AND(BH59&gt;BH61,BH61&gt;BH60),"1x",IF(BH61&gt;BH60,"home",IF(BH60&gt;BH61,"away","draw")))))))</f>
        <v/>
      </c>
      <c r="BJ62" s="0">
        <f>BJ29-$BJ$34</f>
        <v/>
      </c>
      <c r="BK62" s="0">
        <f>BK29-$BK$34</f>
        <v/>
      </c>
      <c r="BL62" s="0">
        <f>BJ62*BJ62</f>
        <v/>
      </c>
      <c r="BM62" s="0">
        <f>BK62*BK62</f>
        <v/>
      </c>
      <c r="CA62" s="0">
        <f>IF(CF43=6,"draw",IF(CF44=6,"away",IF(CF45=6,"draw",IF(CF46=6,"home",IF(CF47=6,"away",IF(CF48=6,"away",IF(CF49=6,"home",IF(CF50=6,"away",IF(CF51=6,"draw",IF(CF52=6,"home","rountime"))))))))))</f>
        <v/>
      </c>
      <c r="CB62" s="201" t="n">
        <v>2</v>
      </c>
      <c r="CC62" s="202" t="inlineStr">
        <is>
          <t>:</t>
        </is>
      </c>
      <c r="CD62" s="203" t="n">
        <v>5</v>
      </c>
      <c r="CE62" s="0">
        <f>POISSON(CB62,$C$17,FALSE)*POISSON(CD62,$D$17,FALSE)</f>
        <v/>
      </c>
      <c r="CF62" s="0">
        <f>RANK(CE62,$CE$43:$CE$74,0)</f>
        <v/>
      </c>
      <c r="CG62" s="0">
        <f>IF(AND(CG65&gt;0,CG65=CG59,OR(CG65=CG60,CG65=CG61)),"overD",IF(AND(CG65&gt;CG59,CG65&gt;CG60,CG65&gt;CG61),"over",IF(AND(CG59&gt;1,OR(CG59=CG60,CG59=CG61)),"Draw",IF(AND(CG59&gt;CG60,CG60&gt;CG61),"x2",IF(AND(CG59&gt;CG61,CG61&gt;CG60),"1x",IF(CG61&gt;CG60,"home",IF(CG60&gt;CG61,"away","draw")))))))</f>
        <v/>
      </c>
      <c r="CZ62" s="0">
        <f>IF(DE43=6,"draw",IF(DE44=6,"away",IF(DE45=6,"draw",IF(DE46=6,"home",IF(DE47=6,"away",IF(DE48=6,"away",IF(DE49=6,"home",IF(DE50=6,"away",IF(DE51=6,"draw",IF(DE52=6,"home","rountime"))))))))))</f>
        <v/>
      </c>
      <c r="DA62" s="201" t="n">
        <v>2</v>
      </c>
      <c r="DB62" s="202" t="inlineStr">
        <is>
          <t>:</t>
        </is>
      </c>
      <c r="DC62" s="203" t="n">
        <v>5</v>
      </c>
      <c r="DD62" s="0">
        <f>POISSON(DA62,$C$18,FALSE)*POISSON(DC62,$D$18,FALSE)</f>
        <v/>
      </c>
      <c r="DE62" s="0">
        <f>RANK(DD62,$DD$43:$DD$74,0)</f>
        <v/>
      </c>
      <c r="DF62" s="0">
        <f>IF(AND(DF65&gt;0,DF65=DF59,OR(DF65=DF60,DF65=DF61)),"overD",IF(AND(DF65&gt;DF59,DF65&gt;DF60,DF65&gt;DF61),"over",IF(AND(DF59&gt;1,OR(DF59=DF60,DF59=DF61)),"Draw",IF(AND(DF59&gt;DF60,DF60&gt;DF61),"x2",IF(AND(DF59&gt;DF61,DF61&gt;DF60),"1x",IF(DF61&gt;DF60,"home",IF(DF60&gt;DF61,"away","draw")))))))</f>
        <v/>
      </c>
    </row>
    <row r="63" ht="15.75" customHeight="1" s="276">
      <c r="D63" s="0">
        <f>IF(I43=7,"draw",IF(I44=7,"away",IF(I45=7,"draw",IF(I46=7,"home",IF(I47=7,"away",IF(I48=7,"away",IF(I49=7,"home",IF(I50=7,"away",IF(I51=7,"draw",IF(I52=7,"home","rountime"))))))))))</f>
        <v/>
      </c>
      <c r="E63" s="201" t="n">
        <v>4</v>
      </c>
      <c r="F63" s="202" t="inlineStr">
        <is>
          <t>:</t>
        </is>
      </c>
      <c r="G63" s="203" t="n">
        <v>3</v>
      </c>
      <c r="H63" s="0">
        <f>POISSON(E63,$C$14,FALSE)*POISSON(G63,$D$14,FALSE)</f>
        <v/>
      </c>
      <c r="I63" s="0">
        <f>RANK(H63,$H$43:$H$74,0)</f>
        <v/>
      </c>
      <c r="J63" s="0">
        <f>IF(AND(J60&gt;J61,J61=0),"cleared away",IF(AND(J61&gt;J60,J60=0),"cleared Home","doubled"))</f>
        <v/>
      </c>
      <c r="L63" s="0">
        <f>(L29/$K$35)*100</f>
        <v/>
      </c>
      <c r="M63" s="0">
        <f>(M29/$K$35)*100</f>
        <v/>
      </c>
      <c r="N63" s="0">
        <f>L63-M63</f>
        <v/>
      </c>
      <c r="O63" s="0">
        <f>M63-L63</f>
        <v/>
      </c>
      <c r="AC63" s="0">
        <f>IF(AH43=7,"draw",IF(AH44=7,"away",IF(AH45=7,"draw",IF(AH46=7,"home",IF(AH47=7,"away",IF(AH48=7,"away",IF(AH49=7,"home",IF(AH50=7,"away",IF(AH51=7,"draw",IF(AH52=7,"home","rountime"))))))))))</f>
        <v/>
      </c>
      <c r="AD63" s="201" t="n">
        <v>4</v>
      </c>
      <c r="AE63" s="202" t="inlineStr">
        <is>
          <t>:</t>
        </is>
      </c>
      <c r="AF63" s="203" t="n">
        <v>3</v>
      </c>
      <c r="AG63" s="0">
        <f>POISSON(AD63,$C$15,FALSE)*POISSON(AF63,$D$15,FALSE)</f>
        <v/>
      </c>
      <c r="AH63" s="0">
        <f>RANK(AG63,$AG$43:$AG$74,0)</f>
        <v/>
      </c>
      <c r="AI63" s="0">
        <f>IF(AND(AI60&gt;AI61,AI61=0),"cleared away",IF(AND(AI61&gt;AI60,AI60=0),"cleared Home","doubled"))</f>
        <v/>
      </c>
      <c r="AK63" s="0">
        <f>(AK29/$AJ$35)*100</f>
        <v/>
      </c>
      <c r="AL63" s="0">
        <f>(AL29/$AJ$35)*100</f>
        <v/>
      </c>
      <c r="AM63" s="0">
        <f>AK63-AL63</f>
        <v/>
      </c>
      <c r="BB63" s="0">
        <f>IF(BG43=7,"draw",IF(BG44=7,"away",IF(BG45=7,"draw",IF(BG46=7,"home",IF(BG47=7,"away",IF(BG48=7,"away",IF(BG49=7,"home",IF(BG50=7,"away",IF(BG51=7,"draw",IF(BG52=7,"home","rountime"))))))))))</f>
        <v/>
      </c>
      <c r="BC63" s="201" t="n">
        <v>4</v>
      </c>
      <c r="BD63" s="202" t="inlineStr">
        <is>
          <t>:</t>
        </is>
      </c>
      <c r="BE63" s="203" t="n">
        <v>3</v>
      </c>
      <c r="BF63" s="0">
        <f>POISSON(BC63,$C$16,FALSE)*POISSON(BE63,$D$16,FALSE)</f>
        <v/>
      </c>
      <c r="BG63" s="0">
        <f>RANK(BF63,$BF$43:$BF$74,0)</f>
        <v/>
      </c>
      <c r="BH63" s="0">
        <f>IF(AND(BH60&gt;BH61,BH61=0),"cleared away",IF(AND(BH61&gt;BH60,BH60=0),"cleared Home","doubled"))</f>
        <v/>
      </c>
      <c r="BJ63" s="0">
        <f>BJ30-$BJ$34</f>
        <v/>
      </c>
      <c r="BK63" s="0">
        <f>BK30-$BK$34</f>
        <v/>
      </c>
      <c r="BL63" s="0">
        <f>BJ63*BJ63</f>
        <v/>
      </c>
      <c r="BM63" s="0">
        <f>BK63*BK63</f>
        <v/>
      </c>
      <c r="CA63" s="0">
        <f>IF(CF43=7,"draw",IF(CF44=7,"away",IF(CF45=7,"draw",IF(CF46=7,"home",IF(CF47=7,"away",IF(CF48=7,"away",IF(CF49=7,"home",IF(CF50=7,"away",IF(CF51=7,"draw",IF(CF52=7,"home","rountime"))))))))))</f>
        <v/>
      </c>
      <c r="CB63" s="201" t="n">
        <v>4</v>
      </c>
      <c r="CC63" s="202" t="inlineStr">
        <is>
          <t>:</t>
        </is>
      </c>
      <c r="CD63" s="203" t="n">
        <v>3</v>
      </c>
      <c r="CE63" s="0">
        <f>POISSON(CB63,$C$17,FALSE)*POISSON(CD63,$D$17,FALSE)</f>
        <v/>
      </c>
      <c r="CF63" s="0">
        <f>RANK(CE63,$CE$43:$CE$74,0)</f>
        <v/>
      </c>
      <c r="CG63" s="0">
        <f>IF(AND(CG60&gt;CG61,CG61=0),"cleared away",IF(AND(CG61&gt;CG60,CG60=0),"cleared Home","doubled"))</f>
        <v/>
      </c>
      <c r="CZ63" s="0">
        <f>IF(DE43=7,"draw",IF(DE44=7,"away",IF(DE45=7,"draw",IF(DE46=7,"home",IF(DE47=7,"away",IF(DE48=7,"away",IF(DE49=7,"home",IF(DE50=7,"away",IF(DE51=7,"draw",IF(DE52=7,"home","rountime"))))))))))</f>
        <v/>
      </c>
      <c r="DA63" s="201" t="n">
        <v>4</v>
      </c>
      <c r="DB63" s="202" t="inlineStr">
        <is>
          <t>:</t>
        </is>
      </c>
      <c r="DC63" s="203" t="n">
        <v>3</v>
      </c>
      <c r="DD63" s="0">
        <f>POISSON(DA63,$C$18,FALSE)*POISSON(DC63,$D$18,FALSE)</f>
        <v/>
      </c>
      <c r="DE63" s="0">
        <f>RANK(DD63,$DD$43:$DD$74,0)</f>
        <v/>
      </c>
      <c r="DF63" s="0">
        <f>IF(AND(DF60&gt;DF61,DF61=0),"cleared away",IF(AND(DF61&gt;DF60,DF60=0),"cleared Home","doubled"))</f>
        <v/>
      </c>
    </row>
    <row r="64" ht="15.75" customHeight="1" s="276">
      <c r="D64" s="0">
        <f>IF(I43=8,"draw",IF(I44=8,"away",IF(I45=8,"draw",IF(I46=8,"home",IF(I47=8,"away",IF(I48=8,"away",IF(I49=8,"home",IF(I50=8,"away",IF(I51=8,"draw",IF(I52=8,"home","rountime"))))))))))</f>
        <v/>
      </c>
      <c r="E64" s="201" t="n">
        <v>5</v>
      </c>
      <c r="F64" s="202" t="inlineStr">
        <is>
          <t>:</t>
        </is>
      </c>
      <c r="G64" s="203" t="n">
        <v>0</v>
      </c>
      <c r="H64" s="0">
        <f>POISSON(E64,$C$14,FALSE)*POISSON(G64,$D$14,FALSE)</f>
        <v/>
      </c>
      <c r="I64" s="0">
        <f>RANK(H64,$H$43:$H$74,0)</f>
        <v/>
      </c>
      <c r="L64" s="0">
        <f>(L30/$K$35)*100</f>
        <v/>
      </c>
      <c r="M64" s="0">
        <f>(M30/$K$35)*100</f>
        <v/>
      </c>
      <c r="N64" s="0">
        <f>L64-M64</f>
        <v/>
      </c>
      <c r="O64" s="0">
        <f>M64-L64</f>
        <v/>
      </c>
      <c r="AC64" s="0">
        <f>IF(AH43=8,"draw",IF(AH44=8,"away",IF(AH45=8,"draw",IF(AH46=8,"home",IF(AH47=8,"away",IF(AH48=8,"away",IF(AH49=8,"home",IF(AH50=8,"away",IF(AH51=8,"draw",IF(AH52=8,"home","rountime"))))))))))</f>
        <v/>
      </c>
      <c r="AD64" s="201" t="n">
        <v>5</v>
      </c>
      <c r="AE64" s="202" t="inlineStr">
        <is>
          <t>:</t>
        </is>
      </c>
      <c r="AF64" s="203" t="n">
        <v>0</v>
      </c>
      <c r="AG64" s="0">
        <f>POISSON(AD64,$C$15,FALSE)*POISSON(AF64,$D$15,FALSE)</f>
        <v/>
      </c>
      <c r="AH64" s="0">
        <f>RANK(AG64,$AG$43:$AG$74,0)</f>
        <v/>
      </c>
      <c r="AK64" s="0">
        <f>(AK30/$AJ$35)*100</f>
        <v/>
      </c>
      <c r="AL64" s="0">
        <f>(AL30/$AJ$35)*100</f>
        <v/>
      </c>
      <c r="AM64" s="0">
        <f>AK64-AL64</f>
        <v/>
      </c>
      <c r="BB64" s="0">
        <f>IF(BG43=8,"draw",IF(BG44=8,"away",IF(BG45=8,"draw",IF(BG46=8,"home",IF(BG47=8,"away",IF(BG48=8,"away",IF(BG49=8,"home",IF(BG50=8,"away",IF(BG51=8,"draw",IF(BG52=8,"home","rountime"))))))))))</f>
        <v/>
      </c>
      <c r="BC64" s="201" t="n">
        <v>5</v>
      </c>
      <c r="BD64" s="202" t="inlineStr">
        <is>
          <t>:</t>
        </is>
      </c>
      <c r="BE64" s="203" t="n">
        <v>0</v>
      </c>
      <c r="BF64" s="0">
        <f>POISSON(BC64,$C$16,FALSE)*POISSON(BE64,$D$16,FALSE)</f>
        <v/>
      </c>
      <c r="BG64" s="0">
        <f>RANK(BF64,$BF$43:$BF$74,0)</f>
        <v/>
      </c>
      <c r="BJ64" s="0">
        <f>BJ31-$BJ$34</f>
        <v/>
      </c>
      <c r="BK64" s="0">
        <f>BK31-$BK$34</f>
        <v/>
      </c>
      <c r="BL64" s="0">
        <f>BJ64*BJ64</f>
        <v/>
      </c>
      <c r="BM64" s="0">
        <f>BK64*BK64</f>
        <v/>
      </c>
      <c r="CA64" s="0">
        <f>IF(CF43=8,"draw",IF(CF44=8,"away",IF(CF45=8,"draw",IF(CF46=8,"home",IF(CF47=8,"away",IF(CF48=8,"away",IF(CF49=8,"home",IF(CF50=8,"away",IF(CF51=8,"draw",IF(CF52=8,"home","rountime"))))))))))</f>
        <v/>
      </c>
      <c r="CB64" s="201" t="n">
        <v>5</v>
      </c>
      <c r="CC64" s="202" t="inlineStr">
        <is>
          <t>:</t>
        </is>
      </c>
      <c r="CD64" s="203" t="n">
        <v>0</v>
      </c>
      <c r="CE64" s="0">
        <f>POISSON(CB64,$C$17,FALSE)*POISSON(CD64,$D$17,FALSE)</f>
        <v/>
      </c>
      <c r="CF64" s="0">
        <f>RANK(CE64,$CE$43:$CE$74,0)</f>
        <v/>
      </c>
      <c r="CZ64" s="0">
        <f>IF(DE43=8,"draw",IF(DE44=8,"away",IF(DE45=8,"draw",IF(DE46=8,"home",IF(DE47=8,"away",IF(DE48=8,"away",IF(DE49=8,"home",IF(DE50=8,"away",IF(DE51=8,"draw",IF(DE52=8,"home","rountime"))))))))))</f>
        <v/>
      </c>
      <c r="DA64" s="201" t="n">
        <v>5</v>
      </c>
      <c r="DB64" s="202" t="inlineStr">
        <is>
          <t>:</t>
        </is>
      </c>
      <c r="DC64" s="203" t="n">
        <v>0</v>
      </c>
      <c r="DD64" s="0">
        <f>POISSON(DA64,$C$18,FALSE)*POISSON(DC64,$D$18,FALSE)</f>
        <v/>
      </c>
      <c r="DE64" s="0">
        <f>RANK(DD64,$DD$43:$DD$74,0)</f>
        <v/>
      </c>
    </row>
    <row r="65" ht="15.75" customHeight="1" s="276">
      <c r="D65" s="0">
        <f>IF(I43=9,"draw",IF(I44=9,"away",IF(I45=9,"draw",IF(I46=9,"home",IF(I47=9,"away",IF(I48=9,"away",IF(I49=9,"home",IF(I50=9,"away",IF(I51=9,"draw",IF(I52=9,"home","rountime"))))))))))</f>
        <v/>
      </c>
      <c r="E65" s="201" t="n">
        <v>5</v>
      </c>
      <c r="F65" s="202" t="inlineStr">
        <is>
          <t>:</t>
        </is>
      </c>
      <c r="G65" s="203" t="n">
        <v>2</v>
      </c>
      <c r="H65" s="0">
        <f>POISSON(E65,$C$14,FALSE)*POISSON(G65,$D$14,FALSE)</f>
        <v/>
      </c>
      <c r="I65" s="0">
        <f>RANK(H65,$H$43:$H$74,0)</f>
        <v/>
      </c>
      <c r="J65" s="0">
        <f>COUNTIF(J48:J51,0)</f>
        <v/>
      </c>
      <c r="L65" s="0">
        <f>(L31/$K$35)*100</f>
        <v/>
      </c>
      <c r="M65" s="0">
        <f>(M31/$K$35)*100</f>
        <v/>
      </c>
      <c r="N65" s="0">
        <f>L65-M65</f>
        <v/>
      </c>
      <c r="O65" s="0">
        <f>M65-L65</f>
        <v/>
      </c>
      <c r="AC65" s="0">
        <f>IF(AH43=9,"draw",IF(AH44=9,"away",IF(AH45=9,"draw",IF(AH46=9,"home",IF(AH47=9,"away",IF(AH48=9,"away",IF(AH49=9,"home",IF(AH50=9,"away",IF(AH51=9,"draw",IF(AH52=9,"home","rountime"))))))))))</f>
        <v/>
      </c>
      <c r="AD65" s="201" t="n">
        <v>5</v>
      </c>
      <c r="AE65" s="202" t="inlineStr">
        <is>
          <t>:</t>
        </is>
      </c>
      <c r="AF65" s="203" t="n">
        <v>2</v>
      </c>
      <c r="AG65" s="0">
        <f>POISSON(AD65,$C$15,FALSE)*POISSON(AF65,$D$15,FALSE)</f>
        <v/>
      </c>
      <c r="AH65" s="0">
        <f>RANK(AG65,$AG$43:$AG$74,0)</f>
        <v/>
      </c>
      <c r="AI65" s="0">
        <f>COUNTIF(AI48:AI51,0)</f>
        <v/>
      </c>
      <c r="AK65" s="0">
        <f>(AK31/$AJ$35)*100</f>
        <v/>
      </c>
      <c r="AL65" s="0">
        <f>(AL31/$AJ$35)*100</f>
        <v/>
      </c>
      <c r="AM65" s="0">
        <f>AK65-AL65</f>
        <v/>
      </c>
      <c r="BB65" s="0">
        <f>IF(BG43=9,"draw",IF(BG44=9,"away",IF(BG45=9,"draw",IF(BG46=9,"home",IF(BG47=9,"away",IF(BG48=9,"away",IF(BG49=9,"home",IF(BG50=9,"away",IF(BG51=9,"draw",IF(BG52=9,"home","rountime"))))))))))</f>
        <v/>
      </c>
      <c r="BC65" s="201" t="n">
        <v>5</v>
      </c>
      <c r="BD65" s="202" t="inlineStr">
        <is>
          <t>:</t>
        </is>
      </c>
      <c r="BE65" s="203" t="n">
        <v>2</v>
      </c>
      <c r="BF65" s="0">
        <f>POISSON(BC65,$C$16,FALSE)*POISSON(BE65,$D$16,FALSE)</f>
        <v/>
      </c>
      <c r="BG65" s="0">
        <f>RANK(BF65,$BF$43:$BF$74,0)</f>
        <v/>
      </c>
      <c r="BH65" s="0">
        <f>COUNTIF(BH48:BH51,0)</f>
        <v/>
      </c>
      <c r="BJ65" s="0">
        <f>BJ32-$BJ$34</f>
        <v/>
      </c>
      <c r="BK65" s="0">
        <f>BK32-$BK$34</f>
        <v/>
      </c>
      <c r="BL65" s="0">
        <f>BJ65*BJ65</f>
        <v/>
      </c>
      <c r="BM65" s="0">
        <f>BK65*BK65</f>
        <v/>
      </c>
      <c r="CA65" s="0">
        <f>IF(CF43=9,"draw",IF(CF44=9,"away",IF(CF45=9,"draw",IF(CF46=9,"home",IF(CF47=9,"away",IF(CF48=9,"away",IF(CF49=9,"home",IF(CF50=9,"away",IF(CF51=9,"draw",IF(CF52=9,"home","rountime"))))))))))</f>
        <v/>
      </c>
      <c r="CB65" s="201" t="n">
        <v>5</v>
      </c>
      <c r="CC65" s="202" t="inlineStr">
        <is>
          <t>:</t>
        </is>
      </c>
      <c r="CD65" s="203" t="n">
        <v>2</v>
      </c>
      <c r="CE65" s="0">
        <f>POISSON(CB65,$C$17,FALSE)*POISSON(CD65,$D$17,FALSE)</f>
        <v/>
      </c>
      <c r="CF65" s="0">
        <f>RANK(CE65,$CE$43:$CE$74,0)</f>
        <v/>
      </c>
      <c r="CG65" s="0">
        <f>COUNTIF(CG48:CG51,0)</f>
        <v/>
      </c>
      <c r="CZ65" s="0">
        <f>IF(DE43=9,"draw",IF(DE44=9,"away",IF(DE45=9,"draw",IF(DE46=9,"home",IF(DE47=9,"away",IF(DE48=9,"away",IF(DE49=9,"home",IF(DE50=9,"away",IF(DE51=9,"draw",IF(DE52=9,"home","rountime"))))))))))</f>
        <v/>
      </c>
      <c r="DA65" s="201" t="n">
        <v>5</v>
      </c>
      <c r="DB65" s="202" t="inlineStr">
        <is>
          <t>:</t>
        </is>
      </c>
      <c r="DC65" s="203" t="n">
        <v>2</v>
      </c>
      <c r="DD65" s="0">
        <f>POISSON(DA65,$C$18,FALSE)*POISSON(DC65,$D$18,FALSE)</f>
        <v/>
      </c>
      <c r="DE65" s="0">
        <f>RANK(DD65,$DD$43:$DD$74,0)</f>
        <v/>
      </c>
      <c r="DF65" s="0">
        <f>COUNTIF(DF48:DF51,0)</f>
        <v/>
      </c>
    </row>
    <row r="66" ht="15.75" customHeight="1" s="276">
      <c r="D66" s="0">
        <f>IF(I43=10,"draw",IF(I44=10,"away",IF(I45=10,"draw",IF(I46=10,"home",IF(I47=10,"away",IF(I48=10,"away",IF(I49=10,"home",IF(I50=10,"away",IF(I51=10,"draw",IF(I52=10,"home","rountime"))))))))))</f>
        <v/>
      </c>
      <c r="E66" s="201" t="n">
        <v>3</v>
      </c>
      <c r="F66" s="202" t="inlineStr">
        <is>
          <t>:</t>
        </is>
      </c>
      <c r="G66" s="203" t="n">
        <v>5</v>
      </c>
      <c r="H66" s="0">
        <f>POISSON(E66,$C$14,FALSE)*POISSON(G66,$D$14,FALSE)</f>
        <v/>
      </c>
      <c r="I66" s="0">
        <f>RANK(H66,$H$43:$H$74,0)</f>
        <v/>
      </c>
      <c r="L66" s="0">
        <f>(L32/$K$35)*100</f>
        <v/>
      </c>
      <c r="M66" s="0">
        <f>(M32/$K$35)*100</f>
        <v/>
      </c>
      <c r="N66" s="0">
        <f>L66-M66</f>
        <v/>
      </c>
      <c r="O66" s="0">
        <f>M66-L66</f>
        <v/>
      </c>
      <c r="AC66" s="0">
        <f>IF(AH43=10,"draw",IF(AH44=10,"away",IF(AH45=10,"draw",IF(AH46=10,"home",IF(AH47=10,"away",IF(AH48=10,"away",IF(AH49=10,"home",IF(AH50=10,"away",IF(AH51=10,"draw",IF(AH52=10,"home","rountime"))))))))))</f>
        <v/>
      </c>
      <c r="AD66" s="201" t="n">
        <v>3</v>
      </c>
      <c r="AE66" s="202" t="inlineStr">
        <is>
          <t>:</t>
        </is>
      </c>
      <c r="AF66" s="203" t="n">
        <v>5</v>
      </c>
      <c r="AG66" s="0">
        <f>POISSON(AD66,$C$15,FALSE)*POISSON(AF66,$D$15,FALSE)</f>
        <v/>
      </c>
      <c r="AH66" s="0">
        <f>RANK(AG66,$AG$43:$AG$74,0)</f>
        <v/>
      </c>
      <c r="AK66" s="0">
        <f>(AK32/$AJ$35)*100</f>
        <v/>
      </c>
      <c r="AL66" s="0">
        <f>(AL32/$AJ$35)*100</f>
        <v/>
      </c>
      <c r="AM66" s="0">
        <f>AK66-AL66</f>
        <v/>
      </c>
      <c r="BB66" s="0">
        <f>IF(BG43=10,"draw",IF(BG44=10,"away",IF(BG45=10,"draw",IF(BG46=10,"home",IF(BG47=10,"away",IF(BG48=10,"away",IF(BG49=10,"home",IF(BG50=10,"away",IF(BG51=10,"draw",IF(BG52=10,"home","rountime"))))))))))</f>
        <v/>
      </c>
      <c r="BC66" s="201" t="n">
        <v>3</v>
      </c>
      <c r="BD66" s="202" t="inlineStr">
        <is>
          <t>:</t>
        </is>
      </c>
      <c r="BE66" s="203" t="n">
        <v>5</v>
      </c>
      <c r="BF66" s="0">
        <f>POISSON(BC66,$C$16,FALSE)*POISSON(BE66,$D$16,FALSE)</f>
        <v/>
      </c>
      <c r="BG66" s="0">
        <f>RANK(BF66,$BF$43:$BF$74,0)</f>
        <v/>
      </c>
      <c r="BJ66" s="0">
        <f>BJ33-$BJ$34</f>
        <v/>
      </c>
      <c r="BK66" s="0">
        <f>BK33-$BK$34</f>
        <v/>
      </c>
      <c r="BL66" s="0">
        <f>BJ66*BJ66</f>
        <v/>
      </c>
      <c r="BM66" s="0">
        <f>BK66*BK66</f>
        <v/>
      </c>
      <c r="CA66" s="0">
        <f>IF(CF43=10,"draw",IF(CF44=10,"away",IF(CF45=10,"draw",IF(CF46=10,"home",IF(CF47=10,"away",IF(CF48=10,"away",IF(CF49=10,"home",IF(CF50=10,"away",IF(CF51=10,"draw",IF(CF52=10,"home","rountime"))))))))))</f>
        <v/>
      </c>
      <c r="CB66" s="201" t="n">
        <v>3</v>
      </c>
      <c r="CC66" s="202" t="inlineStr">
        <is>
          <t>:</t>
        </is>
      </c>
      <c r="CD66" s="203" t="n">
        <v>5</v>
      </c>
      <c r="CE66" s="0">
        <f>POISSON(CB66,$C$17,FALSE)*POISSON(CD66,$D$17,FALSE)</f>
        <v/>
      </c>
      <c r="CF66" s="0">
        <f>RANK(CE66,$CE$43:$CE$74,0)</f>
        <v/>
      </c>
      <c r="CZ66" s="0">
        <f>IF(DE43=10,"draw",IF(DE44=10,"away",IF(DE45=10,"draw",IF(DE46=10,"home",IF(DE47=10,"away",IF(DE48=10,"away",IF(DE49=10,"home",IF(DE50=10,"away",IF(DE51=10,"draw",IF(DE52=10,"home","rountime"))))))))))</f>
        <v/>
      </c>
      <c r="DA66" s="201" t="n">
        <v>3</v>
      </c>
      <c r="DB66" s="202" t="inlineStr">
        <is>
          <t>:</t>
        </is>
      </c>
      <c r="DC66" s="203" t="n">
        <v>5</v>
      </c>
      <c r="DD66" s="0">
        <f>POISSON(DA66,$C$18,FALSE)*POISSON(DC66,$D$18,FALSE)</f>
        <v/>
      </c>
      <c r="DE66" s="0">
        <f>RANK(DD66,$DD$43:$DD$74,0)</f>
        <v/>
      </c>
    </row>
    <row r="67" ht="15.75" customHeight="1" s="276">
      <c r="E67" s="201" t="n">
        <v>4</v>
      </c>
      <c r="F67" s="202" t="inlineStr">
        <is>
          <t>:</t>
        </is>
      </c>
      <c r="G67" s="203" t="n">
        <v>4</v>
      </c>
      <c r="H67" s="0">
        <f>POISSON(E67,$C$14,FALSE)*POISSON(G67,$D$14,FALSE)</f>
        <v/>
      </c>
      <c r="I67" s="0">
        <f>RANK(H67,$H$43:$H$74,0)</f>
        <v/>
      </c>
      <c r="L67" s="0">
        <f>(L33/$K$35)*100</f>
        <v/>
      </c>
      <c r="M67" s="0">
        <f>(M33/$K$35)*100</f>
        <v/>
      </c>
      <c r="N67" s="0">
        <f>L67-M67</f>
        <v/>
      </c>
      <c r="O67" s="0">
        <f>M67-L67</f>
        <v/>
      </c>
      <c r="AD67" s="201" t="n">
        <v>4</v>
      </c>
      <c r="AE67" s="202" t="inlineStr">
        <is>
          <t>:</t>
        </is>
      </c>
      <c r="AF67" s="203" t="n">
        <v>4</v>
      </c>
      <c r="AG67" s="0">
        <f>POISSON(AD67,$C$15,FALSE)*POISSON(AF67,$D$15,FALSE)</f>
        <v/>
      </c>
      <c r="AH67" s="0">
        <f>RANK(AG67,$AG$43:$AG$74,0)</f>
        <v/>
      </c>
      <c r="AK67" s="0">
        <f>(AK33/$AJ$35)*100</f>
        <v/>
      </c>
      <c r="AL67" s="0">
        <f>(AL33/$AJ$35)*100</f>
        <v/>
      </c>
      <c r="AM67" s="0">
        <f>AK67-AL67</f>
        <v/>
      </c>
      <c r="BC67" s="201" t="n">
        <v>4</v>
      </c>
      <c r="BD67" s="202" t="inlineStr">
        <is>
          <t>:</t>
        </is>
      </c>
      <c r="BE67" s="203" t="n">
        <v>4</v>
      </c>
      <c r="BF67" s="0">
        <f>POISSON(BC67,$C$16,FALSE)*POISSON(BE67,$D$16,FALSE)</f>
        <v/>
      </c>
      <c r="BG67" s="0">
        <f>RANK(BF67,$BF$43:$BF$74,0)</f>
        <v/>
      </c>
      <c r="BK67" s="0">
        <f>MAX(BM67,BL67)</f>
        <v/>
      </c>
      <c r="BL67" s="0">
        <f>SUM(BL52:BL66)</f>
        <v/>
      </c>
      <c r="BM67" s="0">
        <f>SUM(BM52:BM66)</f>
        <v/>
      </c>
      <c r="CB67" s="201" t="n">
        <v>4</v>
      </c>
      <c r="CC67" s="202" t="inlineStr">
        <is>
          <t>:</t>
        </is>
      </c>
      <c r="CD67" s="203" t="n">
        <v>4</v>
      </c>
      <c r="CE67" s="0">
        <f>POISSON(CB67,$C$17,FALSE)*POISSON(CD67,$D$17,FALSE)</f>
        <v/>
      </c>
      <c r="CF67" s="0">
        <f>RANK(CE67,$CE$43:$CE$74,0)</f>
        <v/>
      </c>
      <c r="DA67" s="201" t="n">
        <v>4</v>
      </c>
      <c r="DB67" s="202" t="inlineStr">
        <is>
          <t>:</t>
        </is>
      </c>
      <c r="DC67" s="203" t="n">
        <v>4</v>
      </c>
      <c r="DD67" s="0">
        <f>POISSON(DA67,$C$18,FALSE)*POISSON(DC67,$D$18,FALSE)</f>
        <v/>
      </c>
      <c r="DE67" s="0">
        <f>RANK(DD67,$DD$43:$DD$74,0)</f>
        <v/>
      </c>
    </row>
    <row r="68" ht="15.75" customHeight="1" s="276">
      <c r="E68" s="201" t="n">
        <v>5</v>
      </c>
      <c r="F68" s="202" t="inlineStr">
        <is>
          <t>:</t>
        </is>
      </c>
      <c r="G68" s="203" t="n">
        <v>3</v>
      </c>
      <c r="H68" s="0">
        <f>POISSON(E68,$C$14,FALSE)*POISSON(G68,$D$14,FALSE)</f>
        <v/>
      </c>
      <c r="I68" s="0">
        <f>RANK(H68,$H$43:$H$74,0)</f>
        <v/>
      </c>
      <c r="L68" s="0">
        <f>SUM(L53:L67)</f>
        <v/>
      </c>
      <c r="M68" s="0">
        <f>SUM(M53:M67)</f>
        <v/>
      </c>
      <c r="N68" s="0">
        <f>SUM(N53:N67)</f>
        <v/>
      </c>
      <c r="O68" s="0">
        <f>SUM(O53:O67)</f>
        <v/>
      </c>
      <c r="AD68" s="201" t="n">
        <v>5</v>
      </c>
      <c r="AE68" s="202" t="inlineStr">
        <is>
          <t>:</t>
        </is>
      </c>
      <c r="AF68" s="203" t="n">
        <v>3</v>
      </c>
      <c r="AG68" s="0">
        <f>POISSON(AD68,$C$15,FALSE)*POISSON(AF68,$D$15,FALSE)</f>
        <v/>
      </c>
      <c r="AH68" s="0">
        <f>RANK(AG68,$AG$43:$AG$74,0)</f>
        <v/>
      </c>
      <c r="AK68" s="0">
        <f>SUM(AK53:AK67)</f>
        <v/>
      </c>
      <c r="AL68" s="0">
        <f>SUM(AL53:AL67)</f>
        <v/>
      </c>
      <c r="BC68" s="201" t="n">
        <v>5</v>
      </c>
      <c r="BD68" s="202" t="inlineStr">
        <is>
          <t>:</t>
        </is>
      </c>
      <c r="BE68" s="203" t="n">
        <v>3</v>
      </c>
      <c r="BF68" s="0">
        <f>POISSON(BC68,$C$16,FALSE)*POISSON(BE68,$D$16,FALSE)</f>
        <v/>
      </c>
      <c r="BG68" s="0">
        <f>RANK(BF68,$BF$43:$BF$74,0)</f>
        <v/>
      </c>
      <c r="BL68" s="0">
        <f>MAX(BL52:BL66)</f>
        <v/>
      </c>
      <c r="BM68" s="0">
        <f>MAX(BM52:BM66)</f>
        <v/>
      </c>
      <c r="CB68" s="201" t="n">
        <v>5</v>
      </c>
      <c r="CC68" s="202" t="inlineStr">
        <is>
          <t>:</t>
        </is>
      </c>
      <c r="CD68" s="203" t="n">
        <v>3</v>
      </c>
      <c r="CE68" s="0">
        <f>POISSON(CB68,$C$17,FALSE)*POISSON(CD68,$D$17,FALSE)</f>
        <v/>
      </c>
      <c r="CF68" s="0">
        <f>RANK(CE68,$CE$43:$CE$74,0)</f>
        <v/>
      </c>
      <c r="DA68" s="201" t="n">
        <v>5</v>
      </c>
      <c r="DB68" s="202" t="inlineStr">
        <is>
          <t>:</t>
        </is>
      </c>
      <c r="DC68" s="203" t="n">
        <v>3</v>
      </c>
      <c r="DD68" s="0">
        <f>POISSON(DA68,$C$18,FALSE)*POISSON(DC68,$D$18,FALSE)</f>
        <v/>
      </c>
      <c r="DE68" s="0">
        <f>RANK(DD68,$DD$43:$DD$74,0)</f>
        <v/>
      </c>
    </row>
    <row r="69" ht="15.75" customHeight="1" s="276">
      <c r="E69" s="201" t="n">
        <v>4</v>
      </c>
      <c r="F69" s="202" t="inlineStr">
        <is>
          <t>:</t>
        </is>
      </c>
      <c r="G69" s="203" t="n">
        <v>5</v>
      </c>
      <c r="H69" s="0">
        <f>POISSON(E69,$C$14,FALSE)*POISSON(G69,$D$14,FALSE)</f>
        <v/>
      </c>
      <c r="I69" s="0">
        <f>RANK(H69,$H$43:$H$74,0)</f>
        <v/>
      </c>
      <c r="L69" s="0">
        <f>MAX(O53:O67)</f>
        <v/>
      </c>
      <c r="M69" s="0">
        <f>MIN(O53:O67)</f>
        <v/>
      </c>
      <c r="AD69" s="201" t="n">
        <v>4</v>
      </c>
      <c r="AE69" s="202" t="inlineStr">
        <is>
          <t>:</t>
        </is>
      </c>
      <c r="AF69" s="203" t="n">
        <v>5</v>
      </c>
      <c r="AG69" s="0">
        <f>POISSON(AD69,$C$15,FALSE)*POISSON(AF69,$D$15,FALSE)</f>
        <v/>
      </c>
      <c r="AH69" s="0">
        <f>RANK(AG69,$AG$43:$AG$74,0)</f>
        <v/>
      </c>
      <c r="BC69" s="201" t="n">
        <v>4</v>
      </c>
      <c r="BD69" s="202" t="inlineStr">
        <is>
          <t>:</t>
        </is>
      </c>
      <c r="BE69" s="203" t="n">
        <v>5</v>
      </c>
      <c r="BF69" s="0">
        <f>POISSON(BC69,$C$16,FALSE)*POISSON(BE69,$D$16,FALSE)</f>
        <v/>
      </c>
      <c r="BG69" s="0">
        <f>RANK(BF69,$BF$43:$BF$74,0)</f>
        <v/>
      </c>
      <c r="CB69" s="201" t="n">
        <v>4</v>
      </c>
      <c r="CC69" s="202" t="inlineStr">
        <is>
          <t>:</t>
        </is>
      </c>
      <c r="CD69" s="203" t="n">
        <v>5</v>
      </c>
      <c r="CE69" s="0">
        <f>POISSON(CB69,$C$17,FALSE)*POISSON(CD69,$D$17,FALSE)</f>
        <v/>
      </c>
      <c r="CF69" s="0">
        <f>RANK(CE69,$CE$43:$CE$74,0)</f>
        <v/>
      </c>
      <c r="DA69" s="201" t="n">
        <v>4</v>
      </c>
      <c r="DB69" s="202" t="inlineStr">
        <is>
          <t>:</t>
        </is>
      </c>
      <c r="DC69" s="203" t="n">
        <v>5</v>
      </c>
      <c r="DD69" s="0">
        <f>POISSON(DA69,$C$18,FALSE)*POISSON(DC69,$D$18,FALSE)</f>
        <v/>
      </c>
      <c r="DE69" s="0">
        <f>RANK(DD69,$DD$43:$DD$74,0)</f>
        <v/>
      </c>
    </row>
    <row r="70" ht="15.75" customHeight="1" s="276">
      <c r="E70" s="201" t="n">
        <v>5</v>
      </c>
      <c r="F70" s="202" t="inlineStr">
        <is>
          <t>:</t>
        </is>
      </c>
      <c r="G70" s="203" t="n">
        <v>4</v>
      </c>
      <c r="H70" s="0">
        <f>POISSON(E70,$C$14,FALSE)*POISSON(G70,$D$14,FALSE)</f>
        <v/>
      </c>
      <c r="I70" s="0">
        <f>RANK(H70,$H$43:$H$74,0)</f>
        <v/>
      </c>
      <c r="L70" s="231">
        <f>ABS(L69)-ABS(M69)</f>
        <v/>
      </c>
      <c r="AD70" s="201" t="n">
        <v>5</v>
      </c>
      <c r="AE70" s="202" t="inlineStr">
        <is>
          <t>:</t>
        </is>
      </c>
      <c r="AF70" s="203" t="n">
        <v>4</v>
      </c>
      <c r="AG70" s="0">
        <f>POISSON(AD70,$C$15,FALSE)*POISSON(AF70,$D$15,FALSE)</f>
        <v/>
      </c>
      <c r="AH70" s="0">
        <f>RANK(AG70,$AG$43:$AG$74,0)</f>
        <v/>
      </c>
      <c r="BC70" s="201" t="n">
        <v>5</v>
      </c>
      <c r="BD70" s="202" t="inlineStr">
        <is>
          <t>:</t>
        </is>
      </c>
      <c r="BE70" s="203" t="n">
        <v>4</v>
      </c>
      <c r="BF70" s="0">
        <f>POISSON(BC70,$C$16,FALSE)*POISSON(BE70,$D$16,FALSE)</f>
        <v/>
      </c>
      <c r="BG70" s="0">
        <f>RANK(BF70,$BF$43:$BF$74,0)</f>
        <v/>
      </c>
      <c r="CB70" s="201" t="n">
        <v>5</v>
      </c>
      <c r="CC70" s="202" t="inlineStr">
        <is>
          <t>:</t>
        </is>
      </c>
      <c r="CD70" s="203" t="n">
        <v>4</v>
      </c>
      <c r="CE70" s="0">
        <f>POISSON(CB70,$C$17,FALSE)*POISSON(CD70,$D$17,FALSE)</f>
        <v/>
      </c>
      <c r="CF70" s="0">
        <f>RANK(CE70,$CE$43:$CE$74,0)</f>
        <v/>
      </c>
      <c r="DA70" s="201" t="n">
        <v>5</v>
      </c>
      <c r="DB70" s="202" t="inlineStr">
        <is>
          <t>:</t>
        </is>
      </c>
      <c r="DC70" s="203" t="n">
        <v>4</v>
      </c>
      <c r="DD70" s="0">
        <f>POISSON(DA70,$C$18,FALSE)*POISSON(DC70,$D$18,FALSE)</f>
        <v/>
      </c>
      <c r="DE70" s="0">
        <f>RANK(DD70,$DD$43:$DD$74,0)</f>
        <v/>
      </c>
    </row>
    <row r="71" ht="15.75" customHeight="1" s="276">
      <c r="E71" s="201" t="n">
        <v>5</v>
      </c>
      <c r="F71" s="202" t="inlineStr">
        <is>
          <t>:</t>
        </is>
      </c>
      <c r="G71" s="203" t="n">
        <v>5</v>
      </c>
      <c r="H71" s="0">
        <f>POISSON(E71,$C$14,FALSE)*POISSON(G71,$D$14,FALSE)</f>
        <v/>
      </c>
      <c r="I71" s="0">
        <f>RANK(H71,$H$43:$H$74,0)</f>
        <v/>
      </c>
      <c r="M71" s="0">
        <f>IF(AND(O74=N74,N74&gt;50),"both",IF(AND(N74=O74,N74&lt;51),"none",IF(AND(O74&gt;N74,P74&gt;40),"under",IF(AND(O74&gt;N74,P74&lt;40),"Avoid","wins"))))</f>
        <v/>
      </c>
      <c r="AD71" s="201" t="n">
        <v>5</v>
      </c>
      <c r="AE71" s="202" t="inlineStr">
        <is>
          <t>:</t>
        </is>
      </c>
      <c r="AF71" s="203" t="n">
        <v>5</v>
      </c>
      <c r="AG71" s="0">
        <f>POISSON(AD71,$C$15,FALSE)*POISSON(AF71,$D$15,FALSE)</f>
        <v/>
      </c>
      <c r="AH71" s="0">
        <f>RANK(AG71,$AG$43:$AG$74,0)</f>
        <v/>
      </c>
      <c r="BC71" s="201" t="n">
        <v>5</v>
      </c>
      <c r="BD71" s="202" t="inlineStr">
        <is>
          <t>:</t>
        </is>
      </c>
      <c r="BE71" s="203" t="n">
        <v>5</v>
      </c>
      <c r="BF71" s="0">
        <f>POISSON(BC71,$C$16,FALSE)*POISSON(BE71,$D$16,FALSE)</f>
        <v/>
      </c>
      <c r="BG71" s="0">
        <f>RANK(BF71,$BF$43:$BF$74,0)</f>
        <v/>
      </c>
      <c r="CB71" s="201" t="n">
        <v>5</v>
      </c>
      <c r="CC71" s="202" t="inlineStr">
        <is>
          <t>:</t>
        </is>
      </c>
      <c r="CD71" s="203" t="n">
        <v>5</v>
      </c>
      <c r="CE71" s="0">
        <f>POISSON(CB71,$C$17,FALSE)*POISSON(CD71,$D$17,FALSE)</f>
        <v/>
      </c>
      <c r="CF71" s="0">
        <f>RANK(CE71,$CE$43:$CE$74,0)</f>
        <v/>
      </c>
      <c r="DA71" s="201" t="n">
        <v>5</v>
      </c>
      <c r="DB71" s="202" t="inlineStr">
        <is>
          <t>:</t>
        </is>
      </c>
      <c r="DC71" s="203" t="n">
        <v>5</v>
      </c>
      <c r="DD71" s="0">
        <f>POISSON(DA71,$C$18,FALSE)*POISSON(DC71,$D$18,FALSE)</f>
        <v/>
      </c>
      <c r="DE71" s="0">
        <f>RANK(DD71,$DD$43:$DD$74,0)</f>
        <v/>
      </c>
    </row>
    <row r="72" ht="15.75" customHeight="1" s="276">
      <c r="E72" s="201" t="n">
        <v>0</v>
      </c>
      <c r="F72" s="202" t="inlineStr">
        <is>
          <t>:</t>
        </is>
      </c>
      <c r="G72" s="203" t="n">
        <v>3</v>
      </c>
      <c r="H72" s="0">
        <f>POISSON(E72,$C$14,FALSE)*POISSON(G72,$D$14,FALSE)</f>
        <v/>
      </c>
      <c r="I72" s="0">
        <f>RANK(H72,$H$43:$H$74,0)</f>
        <v/>
      </c>
      <c r="L72" s="0">
        <f>(L68/(L68+M68))*100</f>
        <v/>
      </c>
      <c r="M72" s="0">
        <f>M68/(L68+M68)*100</f>
        <v/>
      </c>
      <c r="N72" s="0">
        <f>IF(M72=MAX(L72,M72),M4,L5)</f>
        <v/>
      </c>
      <c r="O72" s="0" t="inlineStr">
        <is>
          <t>handicap</t>
        </is>
      </c>
      <c r="P72" s="0">
        <f>IF(M4=N72,"A","H")</f>
        <v/>
      </c>
      <c r="AD72" s="201" t="n">
        <v>0</v>
      </c>
      <c r="AE72" s="202" t="inlineStr">
        <is>
          <t>:</t>
        </is>
      </c>
      <c r="AF72" s="203" t="n">
        <v>3</v>
      </c>
      <c r="AG72" s="0">
        <f>POISSON(AD72,$C$15,FALSE)*POISSON(AF72,$D$15,FALSE)</f>
        <v/>
      </c>
      <c r="AH72" s="0">
        <f>RANK(AG72,$AG$43:$AG$74,0)</f>
        <v/>
      </c>
      <c r="AK72" s="0">
        <f>(AK68/(AK68+AL68))*100</f>
        <v/>
      </c>
      <c r="AL72" s="0">
        <f>AL68/(AK68+AL68)*100</f>
        <v/>
      </c>
      <c r="AM72" s="0">
        <f>IF(AL72=MAX(AK72,AL72),AL4,AK5)</f>
        <v/>
      </c>
      <c r="BC72" s="201" t="n">
        <v>0</v>
      </c>
      <c r="BD72" s="202" t="inlineStr">
        <is>
          <t>:</t>
        </is>
      </c>
      <c r="BE72" s="203" t="n">
        <v>3</v>
      </c>
      <c r="BF72" s="0">
        <f>POISSON(BC72,$C$16,FALSE)*POISSON(BE72,$D$16,FALSE)</f>
        <v/>
      </c>
      <c r="BG72" s="0">
        <f>RANK(BF72,$BF$43:$BF$74,0)</f>
        <v/>
      </c>
      <c r="CB72" s="201" t="n">
        <v>0</v>
      </c>
      <c r="CC72" s="202" t="inlineStr">
        <is>
          <t>:</t>
        </is>
      </c>
      <c r="CD72" s="203" t="n">
        <v>3</v>
      </c>
      <c r="CE72" s="0">
        <f>POISSON(CB72,$C$17,FALSE)*POISSON(CD72,$D$17,FALSE)</f>
        <v/>
      </c>
      <c r="CF72" s="0">
        <f>RANK(CE72,$CE$43:$CE$74,0)</f>
        <v/>
      </c>
      <c r="DA72" s="201" t="n">
        <v>0</v>
      </c>
      <c r="DB72" s="202" t="inlineStr">
        <is>
          <t>:</t>
        </is>
      </c>
      <c r="DC72" s="203" t="n">
        <v>3</v>
      </c>
      <c r="DD72" s="0">
        <f>POISSON(DA72,$C$18,FALSE)*POISSON(DC72,$D$18,FALSE)</f>
        <v/>
      </c>
      <c r="DE72" s="0">
        <f>RANK(DD72,$DD$43:$DD$74,0)</f>
        <v/>
      </c>
    </row>
    <row r="73" ht="15.75" customHeight="1" s="276">
      <c r="E73" s="201" t="n">
        <v>3</v>
      </c>
      <c r="F73" s="202" t="inlineStr">
        <is>
          <t>:</t>
        </is>
      </c>
      <c r="G73" s="203" t="n">
        <v>2</v>
      </c>
      <c r="H73" s="0">
        <f>POISSON(E73,$C$14,FALSE)*POISSON(G73,$D$14,FALSE)</f>
        <v/>
      </c>
      <c r="I73" s="0">
        <f>RANK(H73,$H$43:$H$74,0)</f>
        <v/>
      </c>
      <c r="K73" s="0">
        <f>_xlfn.TEXTJOIN(",", ,L73,AK73)</f>
        <v/>
      </c>
      <c r="L73" s="0">
        <f>ABS(L72-M72)</f>
        <v/>
      </c>
      <c r="M73" s="0">
        <f>IF(L73=MAX(L73,AK73),N72,AM72)</f>
        <v/>
      </c>
      <c r="N73" s="0">
        <f>IF(N72=AM72,"both","one")</f>
        <v/>
      </c>
      <c r="O73" s="0">
        <f>IF(N73="both",N72,IF(K74=AK73,AM72,M73))</f>
        <v/>
      </c>
      <c r="P73" s="0">
        <f>IF(O73=L5,"Home","Away")</f>
        <v/>
      </c>
      <c r="AD73" s="201" t="n">
        <v>3</v>
      </c>
      <c r="AE73" s="202" t="inlineStr">
        <is>
          <t>:</t>
        </is>
      </c>
      <c r="AF73" s="203" t="n">
        <v>2</v>
      </c>
      <c r="AG73" s="0">
        <f>POISSON(AD73,$C$15,FALSE)*POISSON(AF73,$D$15,FALSE)</f>
        <v/>
      </c>
      <c r="AH73" s="0">
        <f>RANK(AG73,$AG$43:$AG$74,0)</f>
        <v/>
      </c>
      <c r="AK73" s="0">
        <f>ABS(AK72-AL72)</f>
        <v/>
      </c>
      <c r="BC73" s="201" t="n">
        <v>3</v>
      </c>
      <c r="BD73" s="202" t="inlineStr">
        <is>
          <t>:</t>
        </is>
      </c>
      <c r="BE73" s="203" t="n">
        <v>2</v>
      </c>
      <c r="BF73" s="0">
        <f>POISSON(BC73,$C$16,FALSE)*POISSON(BE73,$D$16,FALSE)</f>
        <v/>
      </c>
      <c r="BG73" s="0">
        <f>RANK(BF73,$BF$43:$BF$74,0)</f>
        <v/>
      </c>
      <c r="CB73" s="201" t="n">
        <v>3</v>
      </c>
      <c r="CC73" s="202" t="inlineStr">
        <is>
          <t>:</t>
        </is>
      </c>
      <c r="CD73" s="203" t="n">
        <v>2</v>
      </c>
      <c r="CE73" s="0">
        <f>POISSON(CB73,$C$17,FALSE)*POISSON(CD73,$D$17,FALSE)</f>
        <v/>
      </c>
      <c r="CF73" s="0">
        <f>RANK(CE73,$CE$43:$CE$74,0)</f>
        <v/>
      </c>
      <c r="DA73" s="201" t="n">
        <v>3</v>
      </c>
      <c r="DB73" s="202" t="inlineStr">
        <is>
          <t>:</t>
        </is>
      </c>
      <c r="DC73" s="203" t="n">
        <v>2</v>
      </c>
      <c r="DD73" s="0">
        <f>POISSON(DA73,$C$18,FALSE)*POISSON(DC73,$D$18,FALSE)</f>
        <v/>
      </c>
      <c r="DE73" s="0">
        <f>RANK(DD73,$DD$43:$DD$74,0)</f>
        <v/>
      </c>
    </row>
    <row r="74" ht="15.75" customHeight="1" s="276">
      <c r="E74" s="201" t="n">
        <v>0</v>
      </c>
      <c r="F74" s="202" t="inlineStr">
        <is>
          <t>:</t>
        </is>
      </c>
      <c r="G74" s="203" t="n">
        <v>4</v>
      </c>
      <c r="H74" s="0">
        <f>POISSON(E74,$C$14,FALSE)*POISSON(G74,$D$14,FALSE)</f>
        <v/>
      </c>
      <c r="I74" s="0">
        <f>RANK(H74,$H$43:$H$74,0)</f>
        <v/>
      </c>
      <c r="K74" s="236">
        <f>IF(N72=AM72,AK73+L73,MAX(L73,AK73))</f>
        <v/>
      </c>
      <c r="L74" s="0">
        <f>K74/2</f>
        <v/>
      </c>
      <c r="M74" s="0">
        <f>IF(L74&gt;69,O73,IF(L74&gt;39,_xlfn.TEXTJOIN(", ", ,O73,O72),"low"))</f>
        <v/>
      </c>
      <c r="N74" s="0">
        <f>(SUM(L75:O75)/4)*100</f>
        <v/>
      </c>
      <c r="O74" s="0">
        <f>(SUM(L76:O76)/4)*100</f>
        <v/>
      </c>
      <c r="P74" s="0">
        <f>AVERAGE(N74,O74)</f>
        <v/>
      </c>
      <c r="Q74" s="0">
        <f>P76-50</f>
        <v/>
      </c>
      <c r="AD74" s="201" t="n">
        <v>0</v>
      </c>
      <c r="AE74" s="202" t="inlineStr">
        <is>
          <t>:</t>
        </is>
      </c>
      <c r="AF74" s="203" t="n">
        <v>4</v>
      </c>
      <c r="AG74" s="0">
        <f>POISSON(AD74,$C$15,FALSE)*POISSON(AF74,$D$15,FALSE)</f>
        <v/>
      </c>
      <c r="AH74" s="0">
        <f>RANK(AG74,$AG$43:$AG$74,0)</f>
        <v/>
      </c>
      <c r="BC74" s="201" t="n">
        <v>0</v>
      </c>
      <c r="BD74" s="202" t="inlineStr">
        <is>
          <t>:</t>
        </is>
      </c>
      <c r="BE74" s="203" t="n">
        <v>4</v>
      </c>
      <c r="BF74" s="0">
        <f>POISSON(BC74,$C$16,FALSE)*POISSON(BE74,$D$16,FALSE)</f>
        <v/>
      </c>
      <c r="BG74" s="0">
        <f>RANK(BF74,$BF$43:$BF$74,0)</f>
        <v/>
      </c>
      <c r="CB74" s="201" t="n">
        <v>0</v>
      </c>
      <c r="CC74" s="202" t="inlineStr">
        <is>
          <t>:</t>
        </is>
      </c>
      <c r="CD74" s="203" t="n">
        <v>4</v>
      </c>
      <c r="CE74" s="0">
        <f>POISSON(CB74,$C$17,FALSE)*POISSON(CD74,$D$17,FALSE)</f>
        <v/>
      </c>
      <c r="CF74" s="0">
        <f>RANK(CE74,$CE$43:$CE$74,0)</f>
        <v/>
      </c>
      <c r="DA74" s="201" t="n">
        <v>0</v>
      </c>
      <c r="DB74" s="202" t="inlineStr">
        <is>
          <t>:</t>
        </is>
      </c>
      <c r="DC74" s="203" t="n">
        <v>4</v>
      </c>
      <c r="DD74" s="0">
        <f>POISSON(DA74,$C$18,FALSE)*POISSON(DC74,$D$18,FALSE)</f>
        <v/>
      </c>
      <c r="DE74" s="0">
        <f>RANK(DD74,$DD$43:$DD$74,0)</f>
        <v/>
      </c>
    </row>
    <row r="75" ht="15.75" customHeight="1" s="276">
      <c r="L75" s="0">
        <f>IF(N73="both",1,0)</f>
        <v/>
      </c>
      <c r="M75" s="0">
        <f>IF(OR(S3="F",S3="D"),1,0)</f>
        <v/>
      </c>
      <c r="N75" s="0">
        <f>IF(M74="low",1,0)</f>
        <v/>
      </c>
      <c r="O75" s="0">
        <f>IF(OR(Sheet1!B104="p",Sheet1!B104="F"),1,0)</f>
        <v/>
      </c>
      <c r="P75" s="0">
        <f>N74-O74</f>
        <v/>
      </c>
      <c r="Q75" s="0">
        <f>IF(OR(Q74=0,Q74&gt;22,Q74&lt;7,Q74&lt;-86),"run","GO")</f>
        <v/>
      </c>
    </row>
    <row r="76" ht="15.75" customHeight="1" s="276">
      <c r="L76" s="0">
        <f>IF(OR(Sheet1!B3="good",Sheet1!B3="good+1"),1,0)</f>
        <v/>
      </c>
      <c r="M76" s="0">
        <f>IF(Sheet1!A79="ok",1,0)</f>
        <v/>
      </c>
      <c r="N76" s="0">
        <f>IF(AA15&lt;&gt;"no",1,0)</f>
        <v/>
      </c>
      <c r="O76" s="0">
        <f>IF(OR(Sheet1!A64="",Sheet1!B70=""),0,1)</f>
        <v/>
      </c>
      <c r="P76" s="0">
        <f>AVERAGE(P74,P75)</f>
        <v/>
      </c>
    </row>
    <row r="77" ht="15.75" customHeight="1" s="276">
      <c r="L77" s="0">
        <f>IF(K74&gt;150,"wins",IF(K74&lt;100,"handicap","double"))</f>
        <v/>
      </c>
      <c r="M77" s="0">
        <f>IF(L75+M75&gt;N75+O75,"not close","close")</f>
        <v/>
      </c>
    </row>
    <row r="78" ht="15.75" customHeight="1" s="276"/>
    <row r="79" ht="15.75" customHeight="1" s="276"/>
    <row r="80" ht="15.75" customHeight="1" s="276"/>
    <row r="81" ht="15.75" customHeight="1" s="276"/>
    <row r="82" ht="15.75" customHeight="1" s="276"/>
    <row r="83" ht="15.75" customHeight="1" s="276"/>
    <row r="84" ht="15.75" customHeight="1" s="276"/>
    <row r="85" ht="15.75" customHeight="1" s="276"/>
    <row r="86" ht="15.75" customHeight="1" s="276"/>
    <row r="87" ht="15.75" customHeight="1" s="276"/>
    <row r="88" ht="15.75" customHeight="1" s="276"/>
    <row r="89" ht="15.75" customHeight="1" s="276"/>
    <row r="90" ht="15.75" customHeight="1" s="276"/>
    <row r="91" ht="15.75" customHeight="1" s="276"/>
    <row r="92" ht="15.75" customHeight="1" s="276"/>
    <row r="93" ht="15.75" customHeight="1" s="276"/>
    <row r="94" ht="15.75" customHeight="1" s="276"/>
    <row r="95" ht="15.75" customHeight="1" s="276"/>
    <row r="96" ht="15.75" customHeight="1" s="276"/>
    <row r="97" ht="15.75" customHeight="1" s="276"/>
    <row r="98" ht="15.75" customHeight="1" s="276"/>
    <row r="99" ht="15.75" customHeight="1" s="276"/>
    <row r="100" ht="15.75" customHeight="1" s="276"/>
    <row r="106" ht="5" customHeight="1" s="276"/>
  </sheetData>
  <conditionalFormatting sqref="BN28">
    <cfRule type="expression" priority="91" dxfId="0">
      <formula>$A$1="DON’T PLAY THIS GAME"</formula>
    </cfRule>
  </conditionalFormatting>
  <conditionalFormatting sqref="DL29:DL30">
    <cfRule type="expression" priority="50" dxfId="0">
      <formula>$A$1="DON’T PLAY THIS GAME"</formula>
    </cfRule>
  </conditionalFormatting>
  <conditionalFormatting sqref="DL31:DL34">
    <cfRule type="expression" priority="46" dxfId="0">
      <formula>$A$1="DON’T PLAY THIS GAME"</formula>
    </cfRule>
  </conditionalFormatting>
  <conditionalFormatting sqref="DK27">
    <cfRule type="expression" priority="13" dxfId="0">
      <formula>$A$1="DON’T PLAY THIS GAME"</formula>
    </cfRule>
  </conditionalFormatting>
  <conditionalFormatting sqref="X44:X48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:R29">
    <cfRule type="expression" priority="15" dxfId="0">
      <formula>$A$1="DON’T PLAY THIS GAME"</formula>
    </cfRule>
  </conditionalFormatting>
  <conditionalFormatting sqref="W44:W48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4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3:AG7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29">
    <cfRule type="expression" priority="57" dxfId="0">
      <formula>$A$1="DON’T PLAY THIS GAME"</formula>
    </cfRule>
  </conditionalFormatting>
  <conditionalFormatting sqref="CM31:CM34">
    <cfRule type="expression" priority="12" dxfId="0">
      <formula>$A$1="DON’T PLAY THIS GAME"</formula>
    </cfRule>
  </conditionalFormatting>
  <conditionalFormatting sqref="BU44:BU4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L6:BQ1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27:CO28">
    <cfRule type="expression" priority="73" dxfId="0">
      <formula>$A$1="DON’T PLAY THIS GAME"</formula>
    </cfRule>
  </conditionalFormatting>
  <conditionalFormatting sqref="DM11:DM15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S6:DS10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">
    <cfRule type="expression" priority="30" dxfId="0">
      <formula>$A$1="DON’T PLAY THIS GAME"</formula>
    </cfRule>
  </conditionalFormatting>
  <conditionalFormatting sqref="DN30:DN32">
    <cfRule type="expression" priority="10" dxfId="0">
      <formula>$A$1="DON’T PLAY THIS GAME"</formula>
    </cfRule>
  </conditionalFormatting>
  <conditionalFormatting sqref="Q28:Q33">
    <cfRule type="expression" priority="19" dxfId="0">
      <formula>$A$1="DON’T PLAY THIS GAME"</formula>
    </cfRule>
  </conditionalFormatting>
  <conditionalFormatting sqref="BM28:BM30">
    <cfRule type="expression" priority="69" dxfId="0">
      <formula>$A$1="DON’T PLAY THIS GAME"</formula>
    </cfRule>
  </conditionalFormatting>
  <conditionalFormatting sqref="DS44:DS48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44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O30:CO32">
    <cfRule type="expression" priority="75" dxfId="0">
      <formula>$A$1="DON’T PLAY THIS GAME"</formula>
    </cfRule>
  </conditionalFormatting>
  <conditionalFormatting sqref="CM29:CM30">
    <cfRule type="expression" priority="42" dxfId="0">
      <formula>$A$1="DON’T PLAY THIS GAME"</formula>
    </cfRule>
  </conditionalFormatting>
  <conditionalFormatting sqref="AW6:AW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V6:BV10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P33">
    <cfRule type="expression" priority="31" dxfId="0">
      <formula>$A$1="DON’T PLAY THIS GAME"</formula>
    </cfRule>
  </conditionalFormatting>
  <conditionalFormatting sqref="AV6:AV1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M28">
    <cfRule type="expression" priority="52" dxfId="0">
      <formula>$A$1="DON’T PLAY THIS GAME"</formula>
    </cfRule>
  </conditionalFormatting>
  <conditionalFormatting sqref="H5:H3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U6:BU10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J44:DO49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T6:DT10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44:CP49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33">
    <cfRule type="expression" priority="58" dxfId="0">
      <formula>$A$1="DON’T PLAY THIS GAME"</formula>
    </cfRule>
  </conditionalFormatting>
  <conditionalFormatting sqref="DM28:DM32">
    <cfRule type="expression" priority="66" dxfId="0">
      <formula>$A$1="DON’T PLAY THIS GAME"</formula>
    </cfRule>
  </conditionalFormatting>
  <conditionalFormatting sqref="AP28:AP32">
    <cfRule type="expression" priority="53" dxfId="0">
      <formula>$A$1="DON’T PLAY THIS GAME"</formula>
    </cfRule>
  </conditionalFormatting>
  <conditionalFormatting sqref="N44:S4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9:P30">
    <cfRule type="expression" priority="89" dxfId="0">
      <formula>$A$1="DON’T PLAY THIS GAME"</formula>
    </cfRule>
  </conditionalFormatting>
  <conditionalFormatting sqref="CO29">
    <cfRule type="expression" priority="96" dxfId="0">
      <formula>$A$1="DON’T PLAY THIS GAME"</formula>
    </cfRule>
  </conditionalFormatting>
  <conditionalFormatting sqref="AN30">
    <cfRule type="expression" priority="87" dxfId="0">
      <formula>$A$1="DON’T PLAY THIS GAME"</formula>
    </cfRule>
  </conditionalFormatting>
  <conditionalFormatting sqref="BO28:BO32">
    <cfRule type="expression" priority="92" dxfId="0">
      <formula>$A$1="DON’T PLAY THIS GAME"</formula>
    </cfRule>
  </conditionalFormatting>
  <conditionalFormatting sqref="CU44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28">
    <cfRule type="expression" priority="41" dxfId="0">
      <formula>$A$1="DON’T PLAY THIS GAME"</formula>
    </cfRule>
  </conditionalFormatting>
  <conditionalFormatting sqref="AO28">
    <cfRule type="expression" priority="81" dxfId="0">
      <formula>$A$1="DON’T PLAY THIS GAME"</formula>
    </cfRule>
  </conditionalFormatting>
  <conditionalFormatting sqref="DN27:DN28">
    <cfRule type="expression" priority="62" dxfId="0">
      <formula>$A$1="DON’T PLAY THIS GAME"</formula>
    </cfRule>
  </conditionalFormatting>
  <conditionalFormatting sqref="CT44:CT48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E5:CE36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31:AO34">
    <cfRule type="expression" priority="55" dxfId="0">
      <formula>$A$1="DON’T PLAY THIS GAME"</formula>
    </cfRule>
  </conditionalFormatting>
  <conditionalFormatting sqref="P31:P34">
    <cfRule type="expression" priority="93" dxfId="0">
      <formula>$A$1="DON’T PLAY THIS GAME"</formula>
    </cfRule>
  </conditionalFormatting>
  <conditionalFormatting sqref="BP27:BP28">
    <cfRule type="expression" priority="22" dxfId="0">
      <formula>$A$1="DON’T PLAY THIS GAME"</formula>
    </cfRule>
  </conditionalFormatting>
  <conditionalFormatting sqref="CL28:CL30">
    <cfRule type="expression" priority="28" dxfId="0">
      <formula>$A$1="DON’T PLAY THIS GAME"</formula>
    </cfRule>
  </conditionalFormatting>
  <conditionalFormatting sqref="DL28">
    <cfRule type="expression" priority="79" dxfId="0">
      <formula>$A$1="DON’T PLAY THIS GAME"</formula>
    </cfRule>
  </conditionalFormatting>
  <conditionalFormatting sqref="AO29:AO30">
    <cfRule type="expression" priority="24" dxfId="0">
      <formula>$A$1="DON’T PLAY THIS GAME"</formula>
    </cfRule>
  </conditionalFormatting>
  <conditionalFormatting sqref="AQ27:AQ28">
    <cfRule type="expression" priority="16" dxfId="0">
      <formula>$A$1="DON’T PLAY THIS GAME"</formula>
    </cfRule>
  </conditionalFormatting>
  <conditionalFormatting sqref="BV45:BV48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Q28">
    <cfRule type="expression" priority="8" dxfId="0">
      <formula>$A$1="DON’T PLAY THIS GAME"</formula>
    </cfRule>
  </conditionalFormatting>
  <conditionalFormatting sqref="BF43:BF74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Q29">
    <cfRule type="expression" priority="61" dxfId="0">
      <formula>$A$1="DON’T PLAY THIS GAME"</formula>
    </cfRule>
  </conditionalFormatting>
  <conditionalFormatting sqref="AV44:AV48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O33">
    <cfRule type="expression" priority="71" dxfId="0">
      <formula>$A$1="DON’T PLAY THIS GAME"</formula>
    </cfRule>
  </conditionalFormatting>
  <conditionalFormatting sqref="AW44:AW48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D43:DD7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6:AR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4:AR49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28:AN29">
    <cfRule type="expression" priority="3" dxfId="0">
      <formula>$A$1="DON’T PLAY THIS GAME"</formula>
    </cfRule>
  </conditionalFormatting>
  <conditionalFormatting sqref="DD5:DD3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8">
    <cfRule type="expression" priority="98" dxfId="0">
      <formula>$A$1="DON’T PLAY THIS GAME"</formula>
    </cfRule>
  </conditionalFormatting>
  <conditionalFormatting sqref="DN29">
    <cfRule type="expression" priority="54" dxfId="0">
      <formula>$A$1="DON’T PLAY THIS GAME"</formula>
    </cfRule>
  </conditionalFormatting>
  <conditionalFormatting sqref="CL27">
    <cfRule type="expression" priority="95" dxfId="0">
      <formula>$A$1="DON’T PLAY THIS GAME"</formula>
    </cfRule>
  </conditionalFormatting>
  <conditionalFormatting sqref="DT45:DT48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29:BN30">
    <cfRule type="expression" priority="48" dxfId="0">
      <formula>$A$1="DON’T PLAY THIS GAME"</formula>
    </cfRule>
  </conditionalFormatting>
  <conditionalFormatting sqref="W6:W10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P30:BP32">
    <cfRule type="expression" priority="6" dxfId="0">
      <formula>$A$1="DON’T PLAY THIS GAME"</formula>
    </cfRule>
  </conditionalFormatting>
  <conditionalFormatting sqref="CP28">
    <cfRule type="expression" priority="90" dxfId="0">
      <formula>$A$1="DON’T PLAY THIS GAME"</formula>
    </cfRule>
  </conditionalFormatting>
  <conditionalFormatting sqref="AN27">
    <cfRule type="expression" priority="68" dxfId="0">
      <formula>$A$1="DON’T PLAY THIS GAME"</formula>
    </cfRule>
  </conditionalFormatting>
  <conditionalFormatting sqref="BF5:BF36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0:R32">
    <cfRule type="expression" priority="34" dxfId="0">
      <formula>$A$1="DON’T PLAY THIS GAME"</formula>
    </cfRule>
  </conditionalFormatting>
  <conditionalFormatting sqref="BL44:BQ49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6:X10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5:AG3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8">
    <cfRule type="expression" priority="74" dxfId="0">
      <formula>$A$1="DON’T PLAY THIS GAME"</formula>
    </cfRule>
  </conditionalFormatting>
  <conditionalFormatting sqref="N6:S11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N28:CN32">
    <cfRule type="expression" priority="63" dxfId="0">
      <formula>$A$1="DON’T PLAY THIS GAME"</formula>
    </cfRule>
  </conditionalFormatting>
  <conditionalFormatting sqref="CE43:CE7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K6:CP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8:DK30">
    <cfRule type="expression" priority="32" dxfId="0">
      <formula>$A$1="DON’T PLAY THIS GAME"</formula>
    </cfRule>
  </conditionalFormatting>
  <conditionalFormatting sqref="CN33">
    <cfRule type="expression" priority="1" dxfId="0">
      <formula>$A$1="DON’T PLAY THIS GAME"</formula>
    </cfRule>
  </conditionalFormatting>
  <conditionalFormatting sqref="AQ30:AQ32">
    <cfRule type="expression" priority="38" dxfId="0">
      <formula>$A$1="DON’T PLAY THIS GAME"</formula>
    </cfRule>
  </conditionalFormatting>
  <conditionalFormatting sqref="H43:H74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7">
    <cfRule type="expression" priority="88" dxfId="0">
      <formula>$A$1="DON’T PLAY THIS GAME"</formula>
    </cfRule>
  </conditionalFormatting>
  <conditionalFormatting sqref="DJ6:DO10 DJ11:DL11 DN11:DO11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N31:BN34">
    <cfRule type="expression" priority="43" dxfId="0">
      <formula>$A$1="DON’T PLAY THIS GAME"</formula>
    </cfRule>
  </conditionalFormatting>
  <conditionalFormatting sqref="CU45:CU48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O30">
    <cfRule type="expression" priority="17" dxfId="0">
      <formula>$A$1="DON’T PLAY THIS GAME"</formula>
    </cfRule>
  </conditionalFormatting>
  <conditionalFormatting sqref="CU6:CU1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T6:CT1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O28">
    <cfRule type="expression" priority="51" dxfId="0">
      <formula>$A$1="DON’T PLAY THIS GAME"</formula>
    </cfRule>
  </conditionalFormatting>
  <pageMargins left="0.7" right="0.7" top="0.75" bottom="0.75" header="0" footer="0"/>
  <pageSetup orientation="landscape" paperSize="9" fitToHeight="0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8"/>
  <sheetViews>
    <sheetView workbookViewId="0">
      <selection activeCell="A1" sqref="A1:C8"/>
    </sheetView>
  </sheetViews>
  <sheetFormatPr baseColWidth="8" defaultColWidth="14" defaultRowHeight="15" customHeight="1"/>
  <cols>
    <col width="10" customWidth="1" style="276" min="1" max="3"/>
    <col width="15.136719" customWidth="1" style="276" min="4" max="4"/>
    <col width="23.136719" customWidth="1" style="276" min="5" max="5"/>
    <col width="12.707031" customWidth="1" style="276" min="6" max="6"/>
    <col width="11.136719" customWidth="1" style="276" min="7" max="7"/>
    <col width="11.4296875" customWidth="1" style="276" min="8" max="8"/>
    <col width="12" customWidth="1" style="276" min="9" max="9"/>
    <col width="10" customWidth="1" style="276" min="10" max="11"/>
    <col width="12" customWidth="1" style="276" min="12" max="12"/>
    <col width="10" customWidth="1" style="276" min="13" max="13"/>
    <col width="10.707031" customWidth="1" style="276" min="14" max="14"/>
    <col width="10" customWidth="1" style="276" min="15" max="18"/>
    <col width="11.707031" customWidth="1" style="276" min="19" max="19"/>
    <col width="17.136719" customWidth="1" style="276" min="20" max="20"/>
    <col width="10" customWidth="1" style="276" min="21" max="22"/>
    <col width="11" customWidth="1" style="276" min="23" max="23"/>
    <col width="13.566406" customWidth="1" style="276" min="24" max="24"/>
    <col width="10" customWidth="1" style="276" min="25" max="27"/>
    <col width="17.859375" customWidth="1" style="276" min="28" max="28"/>
    <col width="10" customWidth="1" style="276" min="29" max="31"/>
    <col width="12.136719" customWidth="1" style="276" min="32" max="32"/>
    <col width="11.136719" customWidth="1" style="276" min="33" max="33"/>
    <col width="10" customWidth="1" style="276" min="34" max="34"/>
    <col width="11.2890625" customWidth="1" style="276" min="35" max="35"/>
    <col width="15.4296875" customWidth="1" style="276" min="36" max="36"/>
    <col width="10" customWidth="1" style="276" min="37" max="38"/>
    <col width="11.2890625" customWidth="1" style="276" min="39" max="39"/>
    <col width="10" customWidth="1" style="276" min="40" max="40"/>
    <col width="12.136719" customWidth="1" style="276" min="41" max="41"/>
    <col width="10" customWidth="1" style="276" min="42" max="49"/>
  </cols>
  <sheetData>
    <row r="1" ht="15" customHeight="1" s="276">
      <c r="A1" s="237" t="n"/>
      <c r="F1" s="239" t="n"/>
      <c r="O1" s="0" t="n"/>
      <c r="W1" s="0" t="n"/>
      <c r="AE1" s="0" t="n"/>
      <c r="AM1" s="0" t="n"/>
      <c r="AS1" s="196" t="n"/>
      <c r="AT1" s="196" t="n"/>
      <c r="AU1" s="196" t="n"/>
      <c r="AV1" s="196" t="n"/>
      <c r="AW1" s="196" t="n"/>
    </row>
    <row r="2" ht="15" customHeight="1" s="276">
      <c r="E2" s="241" t="n"/>
      <c r="F2" s="193" t="n"/>
      <c r="G2" s="194" t="n"/>
      <c r="H2" s="194" t="n"/>
      <c r="I2" s="199" t="n"/>
      <c r="M2" s="241" t="n"/>
      <c r="N2" s="193" t="n"/>
      <c r="O2" s="194" t="n"/>
      <c r="P2" s="194" t="n"/>
      <c r="Q2" s="199" t="n"/>
      <c r="U2" s="241" t="n"/>
      <c r="V2" s="193" t="n"/>
      <c r="W2" s="194" t="n"/>
      <c r="X2" s="194" t="n"/>
      <c r="Y2" s="199" t="n"/>
      <c r="AC2" s="241" t="n"/>
      <c r="AD2" s="193" t="n"/>
      <c r="AE2" s="194" t="n"/>
      <c r="AF2" s="194" t="n"/>
      <c r="AG2" s="199" t="n"/>
      <c r="AK2" s="241" t="n"/>
      <c r="AL2" s="193" t="n"/>
      <c r="AM2" s="194" t="n"/>
      <c r="AN2" s="194" t="n"/>
      <c r="AO2" s="199" t="n"/>
      <c r="AS2" s="192" t="n"/>
      <c r="AT2" s="192" t="n"/>
      <c r="AU2" s="192" t="n"/>
      <c r="AV2" s="192" t="n"/>
      <c r="AW2" s="192" t="n"/>
    </row>
    <row r="3" ht="15" customHeight="1" s="276">
      <c r="E3" s="242" t="n"/>
      <c r="F3" s="205" t="n"/>
      <c r="G3" s="243">
        <f>Sheet1!E45</f>
        <v/>
      </c>
      <c r="H3" s="192">
        <f>IF(G3&gt;1.45,"Mega",IF(G3&gt;1.2,"High scoring",IF(G3&lt;1,"low scoring","medium")))</f>
        <v/>
      </c>
      <c r="I3" s="204" t="n"/>
      <c r="J3" s="0" t="n"/>
      <c r="K3" s="0" t="n"/>
      <c r="M3" s="242" t="n"/>
      <c r="N3" s="205" t="n"/>
      <c r="O3" s="243" t="n"/>
      <c r="P3" s="192" t="n"/>
      <c r="Q3" s="204" t="n"/>
      <c r="R3" s="0" t="n"/>
      <c r="S3" s="0" t="n"/>
      <c r="U3" s="242" t="n"/>
      <c r="V3" s="205" t="n"/>
      <c r="W3" s="243" t="n"/>
      <c r="X3" s="192" t="n"/>
      <c r="Y3" s="204" t="n"/>
      <c r="Z3" s="0" t="n"/>
      <c r="AA3" s="0" t="n"/>
      <c r="AC3" s="242" t="n"/>
      <c r="AD3" s="205" t="n"/>
      <c r="AE3" s="243" t="n"/>
      <c r="AF3" s="192" t="n"/>
      <c r="AG3" s="204" t="n"/>
      <c r="AH3" s="0" t="n"/>
      <c r="AI3" s="0" t="n"/>
      <c r="AK3" s="242" t="n"/>
      <c r="AL3" s="205" t="n"/>
      <c r="AM3" s="243" t="n"/>
      <c r="AN3" s="192" t="n"/>
      <c r="AO3" s="204" t="n"/>
      <c r="AP3" s="0" t="n"/>
      <c r="AQ3" s="0" t="n"/>
      <c r="AS3" s="192" t="n"/>
      <c r="AT3" s="192" t="n"/>
      <c r="AU3" s="192" t="n"/>
      <c r="AV3" s="192" t="n"/>
      <c r="AW3" s="192" t="n"/>
    </row>
    <row r="4" ht="15" customHeight="1" s="276">
      <c r="E4" s="244" t="n"/>
      <c r="F4" s="205" t="n"/>
      <c r="G4" s="192" t="n"/>
      <c r="H4" s="192" t="n"/>
      <c r="I4" s="204" t="n"/>
      <c r="M4" s="244" t="n"/>
      <c r="N4" s="205" t="n"/>
      <c r="O4" s="192" t="n"/>
      <c r="P4" s="192" t="n"/>
      <c r="Q4" s="204" t="n"/>
      <c r="U4" s="244" t="n"/>
      <c r="V4" s="205" t="n"/>
      <c r="W4" s="192" t="n"/>
      <c r="X4" s="192" t="n"/>
      <c r="Y4" s="204" t="n"/>
      <c r="AC4" s="244" t="n"/>
      <c r="AD4" s="205" t="n"/>
      <c r="AE4" s="192" t="n"/>
      <c r="AF4" s="192" t="n"/>
      <c r="AG4" s="204" t="n"/>
      <c r="AK4" s="244" t="n"/>
      <c r="AL4" s="205" t="n"/>
      <c r="AM4" s="192" t="n"/>
      <c r="AN4" s="192" t="n"/>
      <c r="AO4" s="204" t="n"/>
      <c r="AS4" s="192" t="n"/>
      <c r="AT4" s="192" t="n"/>
      <c r="AU4" s="192" t="n"/>
      <c r="AV4" s="192" t="n"/>
      <c r="AW4" s="192" t="n"/>
    </row>
    <row r="5" ht="15" customHeight="1" s="276">
      <c r="E5" s="195" t="n"/>
      <c r="F5" s="205" t="n"/>
      <c r="G5" s="192" t="n"/>
      <c r="H5" s="192" t="n"/>
      <c r="I5" s="204" t="n"/>
      <c r="M5" s="195" t="n"/>
      <c r="N5" s="205" t="n"/>
      <c r="O5" s="192" t="n"/>
      <c r="P5" s="192" t="n"/>
      <c r="Q5" s="204" t="n"/>
      <c r="U5" s="195" t="n"/>
      <c r="V5" s="205" t="n"/>
      <c r="W5" s="192" t="n"/>
      <c r="X5" s="192" t="n"/>
      <c r="Y5" s="204" t="n"/>
      <c r="AC5" s="195" t="n"/>
      <c r="AD5" s="205" t="n"/>
      <c r="AE5" s="192" t="n"/>
      <c r="AF5" s="192" t="n"/>
      <c r="AG5" s="204" t="n"/>
      <c r="AK5" s="195" t="n"/>
      <c r="AL5" s="205" t="n"/>
      <c r="AM5" s="192" t="n"/>
      <c r="AN5" s="192" t="n"/>
      <c r="AO5" s="204" t="n"/>
      <c r="AS5" s="192" t="n"/>
      <c r="AT5" s="192" t="n"/>
      <c r="AU5" s="192" t="n"/>
      <c r="AV5" s="192" t="n"/>
      <c r="AW5" s="192" t="n"/>
    </row>
    <row r="6" ht="15" customHeight="1" s="276">
      <c r="E6" s="195" t="n"/>
      <c r="F6" s="245" t="n"/>
      <c r="G6" s="217" t="n"/>
      <c r="H6" s="217" t="n"/>
      <c r="I6" s="219" t="n"/>
      <c r="J6" s="0" t="n"/>
      <c r="M6" s="195" t="n"/>
      <c r="N6" s="245" t="n"/>
      <c r="O6" s="217" t="n"/>
      <c r="P6" s="217" t="n"/>
      <c r="Q6" s="219" t="n"/>
      <c r="R6" s="0" t="n"/>
      <c r="U6" s="195" t="n"/>
      <c r="V6" s="245" t="n"/>
      <c r="W6" s="217" t="n"/>
      <c r="X6" s="217" t="n"/>
      <c r="Y6" s="219" t="n"/>
      <c r="Z6" s="0" t="n"/>
      <c r="AC6" s="195" t="n"/>
      <c r="AD6" s="245" t="n"/>
      <c r="AE6" s="217" t="n"/>
      <c r="AF6" s="217" t="n"/>
      <c r="AG6" s="219" t="n"/>
      <c r="AH6" s="0" t="n"/>
      <c r="AK6" s="195" t="n"/>
      <c r="AL6" s="245" t="n"/>
      <c r="AM6" s="217" t="n"/>
      <c r="AN6" s="217" t="n"/>
      <c r="AO6" s="219" t="n"/>
      <c r="AP6" s="0" t="n"/>
      <c r="AS6" s="192" t="n"/>
      <c r="AT6" s="192" t="n"/>
      <c r="AU6" s="192" t="n"/>
      <c r="AV6" s="192" t="n"/>
      <c r="AW6" s="192" t="n"/>
    </row>
    <row r="7" ht="15" customHeight="1" s="276">
      <c r="D7" s="0" t="n"/>
      <c r="E7" s="195" t="n"/>
      <c r="F7" s="192" t="n"/>
      <c r="G7" s="192" t="n"/>
      <c r="H7" s="192" t="n"/>
      <c r="I7" s="204" t="n"/>
      <c r="L7" s="0" t="n"/>
      <c r="M7" s="195" t="n"/>
      <c r="N7" s="192" t="n"/>
      <c r="O7" s="192" t="n"/>
      <c r="P7" s="192" t="n"/>
      <c r="Q7" s="204" t="n"/>
      <c r="T7" s="0" t="n"/>
      <c r="U7" s="195" t="n"/>
      <c r="V7" s="192" t="n"/>
      <c r="W7" s="192" t="n"/>
      <c r="X7" s="192" t="n"/>
      <c r="Y7" s="204" t="n"/>
      <c r="AB7" s="0" t="n"/>
      <c r="AC7" s="195" t="n"/>
      <c r="AD7" s="192" t="n"/>
      <c r="AE7" s="192" t="n"/>
      <c r="AF7" s="192" t="n"/>
      <c r="AG7" s="204" t="n"/>
      <c r="AJ7" s="196" t="n"/>
      <c r="AK7" s="195" t="n"/>
      <c r="AL7" s="192" t="n"/>
      <c r="AM7" s="192" t="n"/>
      <c r="AN7" s="192" t="n"/>
      <c r="AO7" s="204" t="n"/>
      <c r="AS7" s="192" t="n"/>
      <c r="AT7" s="192" t="n"/>
      <c r="AU7" s="192" t="n"/>
      <c r="AV7" s="192" t="n"/>
      <c r="AW7" s="192" t="n"/>
    </row>
    <row r="8" ht="15" customHeight="1" s="276">
      <c r="D8" s="0" t="n"/>
      <c r="E8" s="195" t="n"/>
      <c r="F8" s="246" t="n"/>
      <c r="G8" s="193" t="n"/>
      <c r="H8" s="247" t="n"/>
      <c r="I8" s="199" t="n"/>
      <c r="L8" s="0" t="n"/>
      <c r="M8" s="195" t="n"/>
      <c r="N8" s="246" t="n"/>
      <c r="O8" s="193" t="n"/>
      <c r="P8" s="247" t="n"/>
      <c r="Q8" s="199" t="n"/>
      <c r="T8" s="0" t="n"/>
      <c r="U8" s="195" t="n"/>
      <c r="V8" s="246" t="n"/>
      <c r="W8" s="193" t="n"/>
      <c r="X8" s="247" t="n"/>
      <c r="Y8" s="199" t="n"/>
      <c r="AB8" s="0" t="n"/>
      <c r="AC8" s="195" t="n"/>
      <c r="AD8" s="246" t="n"/>
      <c r="AE8" s="193" t="n"/>
      <c r="AF8" s="247" t="n"/>
      <c r="AG8" s="199" t="n"/>
      <c r="AJ8" s="0" t="n"/>
      <c r="AK8" s="195" t="n"/>
      <c r="AL8" s="246" t="n"/>
      <c r="AM8" s="193" t="n"/>
      <c r="AN8" s="247" t="n"/>
      <c r="AO8" s="199" t="n"/>
      <c r="AS8" s="192" t="n"/>
      <c r="AT8" s="246" t="n"/>
      <c r="AU8" s="192" t="n"/>
      <c r="AV8" s="192" t="n"/>
      <c r="AW8" s="192" t="n"/>
    </row>
    <row r="9" ht="15" customHeight="1" s="276">
      <c r="D9" s="0" t="n"/>
      <c r="E9" s="195" t="n"/>
      <c r="F9" s="192" t="n"/>
      <c r="G9" s="248" t="n"/>
      <c r="H9" s="249" t="n"/>
      <c r="I9" s="250" t="n"/>
      <c r="L9" s="0" t="n"/>
      <c r="M9" s="195" t="n"/>
      <c r="N9" s="192" t="n"/>
      <c r="O9" s="248" t="n"/>
      <c r="P9" s="249" t="n"/>
      <c r="Q9" s="250" t="n"/>
      <c r="T9" s="0" t="n"/>
      <c r="U9" s="195" t="n"/>
      <c r="V9" s="192" t="n"/>
      <c r="W9" s="248" t="n"/>
      <c r="X9" s="249" t="n"/>
      <c r="Y9" s="250" t="n"/>
      <c r="AB9" s="0" t="n"/>
      <c r="AC9" s="195" t="n"/>
      <c r="AD9" s="192" t="n"/>
      <c r="AE9" s="248" t="n"/>
      <c r="AF9" s="249" t="n"/>
      <c r="AG9" s="250" t="n"/>
      <c r="AJ9" s="0" t="n"/>
      <c r="AK9" s="195" t="n"/>
      <c r="AL9" s="192" t="n"/>
      <c r="AM9" s="248" t="n"/>
      <c r="AN9" s="249" t="n"/>
      <c r="AO9" s="250" t="n"/>
      <c r="AS9" s="192" t="n"/>
      <c r="AT9" s="192" t="n"/>
      <c r="AU9" s="192" t="n"/>
      <c r="AV9" s="192" t="n"/>
      <c r="AW9" s="192" t="n"/>
    </row>
    <row r="10" ht="15" customHeight="1" s="276">
      <c r="E10" s="195" t="n"/>
      <c r="F10" s="192" t="n"/>
      <c r="G10" s="251" t="n"/>
      <c r="H10" s="192" t="n"/>
      <c r="I10" s="204" t="n"/>
      <c r="M10" s="195" t="n"/>
      <c r="N10" s="192" t="n"/>
      <c r="O10" s="251" t="n"/>
      <c r="P10" s="192" t="n"/>
      <c r="Q10" s="204" t="n"/>
      <c r="U10" s="195" t="n"/>
      <c r="V10" s="192" t="n"/>
      <c r="W10" s="251" t="n"/>
      <c r="X10" s="192" t="n"/>
      <c r="Y10" s="204" t="n"/>
      <c r="AC10" s="195" t="n"/>
      <c r="AD10" s="192" t="n"/>
      <c r="AE10" s="251" t="n"/>
      <c r="AF10" s="192" t="n"/>
      <c r="AG10" s="204" t="n"/>
      <c r="AK10" s="195" t="n"/>
      <c r="AL10" s="192" t="n"/>
      <c r="AM10" s="251" t="n"/>
      <c r="AN10" s="192" t="n"/>
      <c r="AO10" s="204" t="n"/>
      <c r="AS10" s="192" t="n"/>
      <c r="AT10" s="192" t="n"/>
      <c r="AU10" s="196" t="n"/>
      <c r="AV10" s="192" t="n"/>
      <c r="AW10" s="192" t="n"/>
    </row>
    <row r="11" ht="15" customHeight="1" s="276">
      <c r="E11" s="195" t="n"/>
      <c r="F11" s="192" t="n"/>
      <c r="G11" s="251" t="n"/>
      <c r="H11" s="192" t="n"/>
      <c r="I11" s="204" t="n"/>
      <c r="M11" s="195" t="n"/>
      <c r="N11" s="192" t="n"/>
      <c r="O11" s="251" t="n"/>
      <c r="P11" s="192" t="n"/>
      <c r="Q11" s="204" t="n"/>
      <c r="U11" s="195" t="n"/>
      <c r="V11" s="192" t="n"/>
      <c r="W11" s="251" t="n"/>
      <c r="X11" s="192" t="n"/>
      <c r="Y11" s="204" t="n"/>
      <c r="AC11" s="195" t="n"/>
      <c r="AD11" s="192" t="n"/>
      <c r="AE11" s="251" t="n"/>
      <c r="AF11" s="192" t="n"/>
      <c r="AG11" s="204" t="n"/>
      <c r="AK11" s="195" t="n"/>
      <c r="AL11" s="192" t="n"/>
      <c r="AM11" s="251" t="n"/>
      <c r="AN11" s="192" t="n"/>
      <c r="AO11" s="204" t="n"/>
      <c r="AS11" s="192" t="n"/>
      <c r="AT11" s="192" t="n"/>
      <c r="AU11" s="196" t="n"/>
      <c r="AV11" s="192" t="n"/>
      <c r="AW11" s="192" t="n"/>
    </row>
    <row r="12" ht="15" customHeight="1" s="276">
      <c r="E12" s="195" t="n"/>
      <c r="F12" s="217" t="n"/>
      <c r="G12" s="252" t="n"/>
      <c r="H12" s="217" t="n"/>
      <c r="I12" s="219" t="n"/>
      <c r="M12" s="195" t="n"/>
      <c r="N12" s="217" t="n"/>
      <c r="O12" s="252" t="n"/>
      <c r="P12" s="217" t="n"/>
      <c r="Q12" s="219" t="n"/>
      <c r="U12" s="195" t="n"/>
      <c r="V12" s="217" t="n"/>
      <c r="W12" s="252" t="n"/>
      <c r="X12" s="217" t="n"/>
      <c r="Y12" s="219" t="n"/>
      <c r="AC12" s="195" t="n"/>
      <c r="AD12" s="217" t="n"/>
      <c r="AE12" s="252" t="n"/>
      <c r="AF12" s="217" t="n"/>
      <c r="AG12" s="219" t="n"/>
      <c r="AK12" s="195" t="n"/>
      <c r="AL12" s="217" t="n"/>
      <c r="AM12" s="252" t="n"/>
      <c r="AN12" s="217" t="n"/>
      <c r="AO12" s="219" t="n"/>
      <c r="AS12" s="192" t="n"/>
      <c r="AT12" s="192" t="n"/>
      <c r="AU12" s="196" t="n"/>
      <c r="AV12" s="192" t="n"/>
      <c r="AW12" s="192" t="n"/>
    </row>
    <row r="13" ht="15" customHeight="1" s="276">
      <c r="E13" s="195" t="n"/>
      <c r="F13" s="192" t="n"/>
      <c r="G13" s="0" t="n"/>
      <c r="H13" s="192" t="n"/>
      <c r="I13" s="204" t="n"/>
      <c r="M13" s="195" t="n"/>
      <c r="N13" s="192" t="n"/>
      <c r="O13" s="0" t="n"/>
      <c r="P13" s="192" t="n"/>
      <c r="Q13" s="204" t="n"/>
      <c r="U13" s="195" t="n"/>
      <c r="V13" s="192" t="n"/>
      <c r="W13" s="0" t="n"/>
      <c r="X13" s="192" t="n"/>
      <c r="Y13" s="204" t="n"/>
      <c r="AC13" s="195" t="n"/>
      <c r="AD13" s="192" t="n"/>
      <c r="AE13" s="0" t="n"/>
      <c r="AF13" s="192" t="n"/>
      <c r="AG13" s="204" t="n"/>
      <c r="AK13" s="195" t="n"/>
      <c r="AL13" s="192" t="n"/>
      <c r="AM13" s="0" t="n"/>
      <c r="AN13" s="192" t="n"/>
      <c r="AO13" s="204" t="n"/>
      <c r="AS13" s="192" t="n"/>
      <c r="AT13" s="192" t="n"/>
      <c r="AU13" s="192" t="n"/>
      <c r="AV13" s="192" t="n"/>
      <c r="AW13" s="192" t="n"/>
    </row>
    <row r="14" ht="15" customHeight="1" s="276">
      <c r="E14" s="195" t="n"/>
      <c r="F14" s="192" t="n"/>
      <c r="G14" s="253" t="n"/>
      <c r="H14" s="192" t="n"/>
      <c r="I14" s="204" t="n"/>
      <c r="M14" s="195" t="n"/>
      <c r="N14" s="192" t="n"/>
      <c r="O14" s="253" t="n"/>
      <c r="P14" s="192" t="n"/>
      <c r="Q14" s="204" t="n"/>
      <c r="U14" s="195" t="n"/>
      <c r="V14" s="192" t="n"/>
      <c r="W14" s="253" t="n"/>
      <c r="X14" s="192" t="n"/>
      <c r="Y14" s="204" t="n"/>
      <c r="AC14" s="195" t="n"/>
      <c r="AD14" s="192" t="n"/>
      <c r="AE14" s="253" t="n"/>
      <c r="AF14" s="192" t="n"/>
      <c r="AG14" s="204" t="n"/>
      <c r="AK14" s="195" t="n"/>
      <c r="AL14" s="192" t="n"/>
      <c r="AM14" s="253" t="n"/>
      <c r="AN14" s="192" t="n"/>
      <c r="AO14" s="204" t="n"/>
      <c r="AS14" s="192" t="n"/>
      <c r="AT14" s="192" t="n"/>
      <c r="AU14" s="196" t="n"/>
      <c r="AV14" s="192" t="n"/>
      <c r="AW14" s="192" t="n"/>
    </row>
    <row r="15" ht="15" customHeight="1" s="276">
      <c r="E15" s="195" t="n"/>
      <c r="F15" s="192" t="n"/>
      <c r="G15" s="192" t="n"/>
      <c r="H15" s="192" t="n"/>
      <c r="I15" s="204" t="n"/>
      <c r="M15" s="195" t="n"/>
      <c r="N15" s="192" t="n"/>
      <c r="O15" s="192" t="n"/>
      <c r="P15" s="192" t="n"/>
      <c r="Q15" s="204" t="n"/>
      <c r="U15" s="195" t="n"/>
      <c r="V15" s="192" t="n"/>
      <c r="W15" s="192" t="n"/>
      <c r="X15" s="192" t="n"/>
      <c r="Y15" s="204" t="n"/>
      <c r="AC15" s="195" t="n"/>
      <c r="AD15" s="192" t="n"/>
      <c r="AE15" s="192" t="n"/>
      <c r="AF15" s="192" t="n"/>
      <c r="AG15" s="204" t="n"/>
      <c r="AK15" s="195" t="n"/>
      <c r="AL15" s="192" t="n"/>
      <c r="AM15" s="192" t="n"/>
      <c r="AN15" s="192" t="n"/>
      <c r="AO15" s="204" t="n"/>
      <c r="AS15" s="192" t="n"/>
      <c r="AT15" s="192" t="n"/>
      <c r="AU15" s="192" t="n"/>
      <c r="AV15" s="192" t="n"/>
      <c r="AW15" s="192" t="n"/>
    </row>
    <row r="16" ht="15" customHeight="1" s="276">
      <c r="E16" s="195" t="n"/>
      <c r="F16" s="192" t="n"/>
      <c r="G16" s="254" t="n"/>
      <c r="H16" s="192" t="n"/>
      <c r="I16" s="204" t="n"/>
      <c r="M16" s="195" t="n"/>
      <c r="N16" s="192" t="n"/>
      <c r="O16" s="254" t="n"/>
      <c r="P16" s="192" t="n"/>
      <c r="Q16" s="204" t="n"/>
      <c r="U16" s="195" t="n"/>
      <c r="V16" s="192" t="n"/>
      <c r="W16" s="254" t="n"/>
      <c r="X16" s="192" t="n"/>
      <c r="Y16" s="204" t="n"/>
      <c r="AC16" s="195" t="n"/>
      <c r="AD16" s="192" t="n"/>
      <c r="AE16" s="254" t="n"/>
      <c r="AF16" s="192" t="n"/>
      <c r="AG16" s="204" t="n"/>
      <c r="AK16" s="195" t="n"/>
      <c r="AL16" s="192" t="n"/>
      <c r="AM16" s="254" t="n"/>
      <c r="AN16" s="192" t="n"/>
      <c r="AO16" s="204" t="n"/>
      <c r="AS16" s="192" t="n"/>
      <c r="AT16" s="192" t="n"/>
      <c r="AU16" s="196" t="n"/>
      <c r="AV16" s="192" t="n"/>
      <c r="AW16" s="192" t="n"/>
    </row>
    <row r="17" ht="15" customHeight="1" s="276">
      <c r="E17" s="195" t="n"/>
      <c r="F17" s="192" t="n"/>
      <c r="G17" s="192" t="n"/>
      <c r="H17" s="192" t="n"/>
      <c r="I17" s="204" t="n"/>
      <c r="M17" s="195" t="n"/>
      <c r="N17" s="192" t="n"/>
      <c r="O17" s="192" t="n"/>
      <c r="P17" s="192" t="n"/>
      <c r="Q17" s="204" t="n"/>
      <c r="U17" s="195" t="n"/>
      <c r="V17" s="192" t="n"/>
      <c r="W17" s="192" t="n"/>
      <c r="X17" s="192" t="n"/>
      <c r="Y17" s="204" t="n"/>
      <c r="AC17" s="195" t="n"/>
      <c r="AD17" s="192" t="n"/>
      <c r="AE17" s="192" t="n"/>
      <c r="AF17" s="192" t="n"/>
      <c r="AG17" s="204" t="n"/>
      <c r="AK17" s="195" t="n"/>
      <c r="AL17" s="192" t="n"/>
      <c r="AM17" s="192" t="n"/>
      <c r="AN17" s="192" t="n"/>
      <c r="AO17" s="204" t="n"/>
      <c r="AS17" s="192" t="n"/>
      <c r="AT17" s="192" t="n"/>
      <c r="AU17" s="192" t="n"/>
      <c r="AV17" s="192" t="n"/>
      <c r="AW17" s="192" t="n"/>
    </row>
    <row r="18" ht="15" customHeight="1" s="276">
      <c r="E18" s="216" t="n"/>
      <c r="F18" s="217" t="n"/>
      <c r="G18" s="255" t="n"/>
      <c r="H18" s="217" t="n"/>
      <c r="I18" s="219" t="n"/>
      <c r="M18" s="216" t="n"/>
      <c r="N18" s="217" t="n"/>
      <c r="O18" s="255" t="n"/>
      <c r="P18" s="217" t="n"/>
      <c r="Q18" s="219" t="n"/>
      <c r="U18" s="216" t="n"/>
      <c r="V18" s="217" t="n"/>
      <c r="W18" s="255" t="n"/>
      <c r="X18" s="217" t="n"/>
      <c r="Y18" s="219" t="n"/>
      <c r="AC18" s="216" t="n"/>
      <c r="AD18" s="217" t="n"/>
      <c r="AE18" s="255" t="n"/>
      <c r="AF18" s="217" t="n"/>
      <c r="AG18" s="219" t="n"/>
      <c r="AK18" s="216" t="n"/>
      <c r="AL18" s="217" t="n"/>
      <c r="AM18" s="255" t="n"/>
      <c r="AN18" s="217" t="n"/>
      <c r="AO18" s="219" t="n"/>
      <c r="AS18" s="192" t="n"/>
      <c r="AT18" s="192" t="n"/>
      <c r="AU18" s="192" t="n"/>
      <c r="AV18" s="192" t="n"/>
      <c r="AW18" s="192" t="n"/>
    </row>
    <row r="19" ht="15" customHeight="1" s="276">
      <c r="G19" s="0" t="n"/>
      <c r="H19" s="0" t="n"/>
      <c r="I19" s="0" t="n"/>
      <c r="O19" s="0" t="n"/>
      <c r="P19" s="0" t="n"/>
      <c r="Q19" s="0" t="n"/>
      <c r="W19" s="0" t="n"/>
      <c r="X19" s="0" t="n"/>
      <c r="Y19" s="0" t="n"/>
      <c r="AE19" s="0" t="n"/>
      <c r="AF19" s="0" t="n"/>
      <c r="AG19" s="0" t="n"/>
      <c r="AM19" s="0" t="n"/>
      <c r="AN19" s="0" t="n"/>
      <c r="AO19" s="0" t="n"/>
    </row>
    <row r="20" ht="23.25" customHeight="1" s="276">
      <c r="E20" s="0" t="n"/>
      <c r="F20" s="256" t="n"/>
      <c r="G20" s="257" t="n"/>
      <c r="H20" s="258" t="n"/>
      <c r="M20" s="0" t="n"/>
      <c r="N20" s="256" t="n"/>
      <c r="O20" s="257" t="n"/>
      <c r="P20" s="258" t="n"/>
      <c r="U20" s="0" t="n"/>
      <c r="V20" s="256" t="n"/>
      <c r="W20" s="257" t="n"/>
      <c r="X20" s="258" t="n"/>
      <c r="AC20" s="0" t="n"/>
      <c r="AD20" s="256" t="n"/>
      <c r="AE20" s="257" t="n"/>
      <c r="AF20" s="258" t="n"/>
      <c r="AK20" s="0" t="n"/>
      <c r="AL20" s="256" t="n"/>
      <c r="AM20" s="257" t="n"/>
      <c r="AN20" s="258" t="n"/>
    </row>
    <row r="21" ht="15.75" customHeight="1" s="276">
      <c r="E21" s="0" t="n"/>
      <c r="F21" s="0" t="n"/>
      <c r="G21" s="0" t="n"/>
      <c r="M21" s="0" t="n"/>
      <c r="N21" s="0" t="n"/>
      <c r="O21" s="0" t="n"/>
      <c r="U21" s="0" t="n"/>
      <c r="V21" s="0" t="n"/>
      <c r="W21" s="0" t="n"/>
      <c r="AC21" s="0" t="n"/>
      <c r="AD21" s="0" t="n"/>
      <c r="AE21" s="0" t="n"/>
      <c r="AK21" s="0" t="n"/>
      <c r="AL21" s="0" t="n"/>
      <c r="AM21" s="0" t="n"/>
    </row>
    <row r="22" ht="15.75" customHeight="1" s="276">
      <c r="E22" s="241" t="n"/>
      <c r="F22" s="193" t="n"/>
      <c r="G22" s="194" t="n"/>
      <c r="H22" s="194" t="n"/>
      <c r="I22" s="199" t="n"/>
      <c r="M22" s="241" t="n"/>
      <c r="N22" s="193" t="n"/>
      <c r="O22" s="194" t="n"/>
      <c r="P22" s="194" t="n"/>
      <c r="Q22" s="199" t="n"/>
      <c r="U22" s="241" t="n"/>
      <c r="V22" s="193" t="n"/>
      <c r="W22" s="194" t="n"/>
      <c r="X22" s="194" t="n"/>
      <c r="Y22" s="199" t="n"/>
      <c r="AC22" s="241" t="n"/>
      <c r="AD22" s="193" t="n"/>
      <c r="AE22" s="194" t="n"/>
      <c r="AF22" s="194" t="n"/>
      <c r="AG22" s="199" t="n"/>
      <c r="AK22" s="241" t="n"/>
      <c r="AL22" s="193" t="n"/>
      <c r="AM22" s="194" t="n"/>
      <c r="AN22" s="194" t="n"/>
      <c r="AO22" s="199" t="n"/>
    </row>
    <row r="23" ht="15.75" customHeight="1" s="276">
      <c r="E23" s="242" t="n"/>
      <c r="F23" s="205" t="n"/>
      <c r="G23" s="243" t="n"/>
      <c r="H23" s="192" t="n"/>
      <c r="I23" s="204" t="n"/>
      <c r="K23" s="0" t="n"/>
      <c r="M23" s="242" t="n"/>
      <c r="N23" s="205" t="n"/>
      <c r="O23" s="243" t="n"/>
      <c r="P23" s="192" t="n"/>
      <c r="Q23" s="204" t="n"/>
      <c r="S23" s="0" t="n"/>
      <c r="U23" s="242" t="n"/>
      <c r="V23" s="205" t="n"/>
      <c r="W23" s="243" t="n"/>
      <c r="X23" s="192" t="n"/>
      <c r="Y23" s="204" t="n"/>
      <c r="AA23" s="0" t="n"/>
      <c r="AC23" s="242" t="n"/>
      <c r="AD23" s="205" t="n"/>
      <c r="AE23" s="243" t="n"/>
      <c r="AF23" s="192" t="n"/>
      <c r="AG23" s="204" t="n"/>
      <c r="AH23" s="0" t="n"/>
      <c r="AI23" s="0" t="n"/>
      <c r="AK23" s="242" t="n"/>
      <c r="AL23" s="205" t="n"/>
      <c r="AM23" s="243" t="n"/>
      <c r="AN23" s="192" t="n"/>
      <c r="AO23" s="204" t="n"/>
      <c r="AP23" s="0" t="n"/>
      <c r="AQ23" s="0" t="n"/>
    </row>
    <row r="24" ht="15.75" customHeight="1" s="276">
      <c r="E24" s="244" t="n"/>
      <c r="F24" s="205" t="n"/>
      <c r="G24" s="192" t="n"/>
      <c r="H24" s="192" t="n"/>
      <c r="I24" s="204" t="n"/>
      <c r="M24" s="244" t="n"/>
      <c r="N24" s="205" t="n"/>
      <c r="O24" s="192" t="n"/>
      <c r="P24" s="192" t="n"/>
      <c r="Q24" s="204" t="n"/>
      <c r="U24" s="244" t="n"/>
      <c r="V24" s="205" t="n"/>
      <c r="W24" s="192" t="n"/>
      <c r="X24" s="192" t="n"/>
      <c r="Y24" s="204" t="n"/>
      <c r="AC24" s="244" t="n"/>
      <c r="AD24" s="205" t="n"/>
      <c r="AE24" s="192" t="n"/>
      <c r="AF24" s="192" t="n"/>
      <c r="AG24" s="204" t="n"/>
      <c r="AK24" s="244" t="n"/>
      <c r="AL24" s="205" t="n"/>
      <c r="AM24" s="192" t="n"/>
      <c r="AN24" s="192" t="n"/>
      <c r="AO24" s="204" t="n"/>
    </row>
    <row r="25" ht="15.75" customHeight="1" s="276">
      <c r="C25" s="220" t="n"/>
      <c r="D25" s="0" t="n"/>
      <c r="E25" s="195" t="n"/>
      <c r="F25" s="205" t="n"/>
      <c r="G25" s="192" t="n"/>
      <c r="H25" s="192" t="n"/>
      <c r="I25" s="204" t="n"/>
      <c r="K25" s="220" t="n"/>
      <c r="L25" s="0" t="n"/>
      <c r="M25" s="195" t="n"/>
      <c r="N25" s="205" t="n"/>
      <c r="O25" s="192" t="n"/>
      <c r="P25" s="192" t="n"/>
      <c r="Q25" s="204" t="n"/>
      <c r="S25" s="220" t="n"/>
      <c r="T25" s="0" t="n"/>
      <c r="U25" s="195" t="n"/>
      <c r="V25" s="205" t="n"/>
      <c r="W25" s="192" t="n"/>
      <c r="X25" s="192" t="n"/>
      <c r="Y25" s="204" t="n"/>
      <c r="AA25" s="220" t="n"/>
      <c r="AB25" s="0" t="n"/>
      <c r="AC25" s="195" t="n"/>
      <c r="AD25" s="205" t="n"/>
      <c r="AE25" s="192" t="n"/>
      <c r="AF25" s="192" t="n"/>
      <c r="AG25" s="204" t="n"/>
      <c r="AI25" s="220" t="n"/>
      <c r="AJ25" s="0" t="n"/>
      <c r="AK25" s="195" t="n"/>
      <c r="AL25" s="205" t="n"/>
      <c r="AM25" s="192" t="n"/>
      <c r="AN25" s="192" t="n"/>
      <c r="AO25" s="204" t="n"/>
    </row>
    <row r="26" ht="15.75" customHeight="1" s="276">
      <c r="C26" s="221" t="n"/>
      <c r="D26" s="221" t="n"/>
      <c r="E26" s="195" t="n"/>
      <c r="F26" s="245" t="n"/>
      <c r="G26" s="217" t="n"/>
      <c r="H26" s="217" t="n"/>
      <c r="I26" s="219" t="n"/>
      <c r="K26" s="221" t="n"/>
      <c r="L26" s="221" t="n"/>
      <c r="M26" s="195" t="n"/>
      <c r="N26" s="245" t="n"/>
      <c r="O26" s="217" t="n"/>
      <c r="P26" s="217" t="n"/>
      <c r="Q26" s="219" t="n"/>
      <c r="S26" s="221" t="n"/>
      <c r="T26" s="221" t="n"/>
      <c r="U26" s="195" t="n"/>
      <c r="V26" s="245" t="n"/>
      <c r="W26" s="217" t="n"/>
      <c r="X26" s="217" t="n"/>
      <c r="Y26" s="219" t="n"/>
      <c r="AA26" s="221" t="n"/>
      <c r="AB26" s="221" t="n"/>
      <c r="AC26" s="195" t="n"/>
      <c r="AD26" s="245" t="n"/>
      <c r="AE26" s="217" t="n"/>
      <c r="AF26" s="217" t="n"/>
      <c r="AG26" s="219" t="n"/>
      <c r="AH26" s="0" t="n"/>
      <c r="AI26" s="221" t="n"/>
      <c r="AJ26" s="221" t="n"/>
      <c r="AK26" s="195" t="n"/>
      <c r="AL26" s="245" t="n"/>
      <c r="AM26" s="217" t="n"/>
      <c r="AN26" s="217" t="n"/>
      <c r="AO26" s="219" t="n"/>
      <c r="AP26" s="0" t="n"/>
    </row>
    <row r="27" ht="15.75" customHeight="1" s="276">
      <c r="C27" s="221" t="n"/>
      <c r="D27" s="221" t="n"/>
      <c r="E27" s="195" t="n"/>
      <c r="F27" s="192" t="n"/>
      <c r="G27" s="192" t="n"/>
      <c r="H27" s="192" t="n"/>
      <c r="I27" s="204" t="n"/>
      <c r="K27" s="221" t="n"/>
      <c r="L27" s="221" t="n"/>
      <c r="M27" s="195" t="n"/>
      <c r="N27" s="192" t="n"/>
      <c r="O27" s="192" t="n"/>
      <c r="P27" s="192" t="n"/>
      <c r="Q27" s="204" t="n"/>
      <c r="S27" s="221" t="n"/>
      <c r="T27" s="221" t="n"/>
      <c r="U27" s="195" t="n"/>
      <c r="V27" s="192" t="n"/>
      <c r="W27" s="192" t="n"/>
      <c r="X27" s="192" t="n"/>
      <c r="Y27" s="204" t="n"/>
      <c r="AA27" s="221" t="n"/>
      <c r="AB27" s="221" t="n"/>
      <c r="AC27" s="195" t="n"/>
      <c r="AD27" s="192" t="n"/>
      <c r="AE27" s="192" t="n"/>
      <c r="AF27" s="192" t="n"/>
      <c r="AG27" s="204" t="n"/>
      <c r="AI27" s="221" t="n"/>
      <c r="AJ27" s="221" t="n"/>
      <c r="AK27" s="195" t="n"/>
      <c r="AL27" s="192" t="n"/>
      <c r="AM27" s="192" t="n"/>
      <c r="AN27" s="192" t="n"/>
      <c r="AO27" s="204" t="n"/>
    </row>
    <row r="28" ht="15.75" customHeight="1" s="276">
      <c r="C28" s="221" t="n"/>
      <c r="D28" s="221" t="n"/>
      <c r="E28" s="195" t="n"/>
      <c r="F28" s="246" t="n"/>
      <c r="G28" s="193" t="n"/>
      <c r="H28" s="247" t="n"/>
      <c r="I28" s="199" t="n"/>
      <c r="K28" s="221" t="n"/>
      <c r="L28" s="221" t="n"/>
      <c r="M28" s="195" t="n"/>
      <c r="N28" s="246" t="n"/>
      <c r="O28" s="193" t="n"/>
      <c r="P28" s="247" t="n"/>
      <c r="Q28" s="199" t="n"/>
      <c r="S28" s="221" t="n"/>
      <c r="T28" s="221" t="n"/>
      <c r="U28" s="195" t="n"/>
      <c r="V28" s="246" t="n"/>
      <c r="W28" s="193" t="n"/>
      <c r="X28" s="247" t="n"/>
      <c r="Y28" s="199" t="n"/>
      <c r="AA28" s="221" t="n"/>
      <c r="AB28" s="221" t="n"/>
      <c r="AC28" s="195" t="n"/>
      <c r="AD28" s="246" t="n"/>
      <c r="AE28" s="193" t="n"/>
      <c r="AF28" s="247" t="n"/>
      <c r="AG28" s="199" t="n"/>
      <c r="AI28" s="221" t="n"/>
      <c r="AJ28" s="221" t="n"/>
      <c r="AK28" s="195" t="n"/>
      <c r="AL28" s="246" t="n"/>
      <c r="AM28" s="193" t="n"/>
      <c r="AN28" s="247" t="n"/>
      <c r="AO28" s="199" t="n"/>
    </row>
    <row r="29" ht="15.75" customHeight="1" s="276">
      <c r="C29" s="221" t="n"/>
      <c r="D29" s="221" t="n"/>
      <c r="E29" s="195" t="n"/>
      <c r="F29" s="192" t="n"/>
      <c r="G29" s="248" t="n"/>
      <c r="H29" s="249" t="n"/>
      <c r="I29" s="250" t="n"/>
      <c r="K29" s="221" t="n"/>
      <c r="L29" s="221" t="n"/>
      <c r="M29" s="195" t="n"/>
      <c r="N29" s="192" t="n"/>
      <c r="O29" s="248" t="n"/>
      <c r="P29" s="249" t="n"/>
      <c r="Q29" s="250" t="n"/>
      <c r="S29" s="221" t="n"/>
      <c r="T29" s="221" t="n"/>
      <c r="U29" s="195" t="n"/>
      <c r="V29" s="192" t="n"/>
      <c r="W29" s="248" t="n"/>
      <c r="X29" s="249" t="n"/>
      <c r="Y29" s="250" t="n"/>
      <c r="AA29" s="221" t="n"/>
      <c r="AB29" s="221" t="n"/>
      <c r="AC29" s="195" t="n"/>
      <c r="AD29" s="192" t="n"/>
      <c r="AE29" s="248" t="n"/>
      <c r="AF29" s="249" t="n"/>
      <c r="AG29" s="250" t="n"/>
      <c r="AI29" s="221" t="n"/>
      <c r="AJ29" s="221" t="n"/>
      <c r="AK29" s="195" t="n"/>
      <c r="AL29" s="192" t="n"/>
      <c r="AM29" s="248" t="n"/>
      <c r="AN29" s="249" t="n"/>
      <c r="AO29" s="250" t="n"/>
    </row>
    <row r="30" ht="15.75" customHeight="1" s="276">
      <c r="C30" s="221" t="n"/>
      <c r="D30" s="259" t="n"/>
      <c r="E30" s="195" t="n"/>
      <c r="F30" s="192" t="n"/>
      <c r="G30" s="251" t="n"/>
      <c r="H30" s="192" t="n"/>
      <c r="I30" s="204" t="n"/>
      <c r="K30" s="221" t="n"/>
      <c r="L30" s="221" t="n"/>
      <c r="M30" s="195" t="n"/>
      <c r="N30" s="192" t="n"/>
      <c r="O30" s="251" t="n"/>
      <c r="P30" s="192" t="n"/>
      <c r="Q30" s="204" t="n"/>
      <c r="S30" s="221" t="n"/>
      <c r="T30" s="221" t="n"/>
      <c r="U30" s="195" t="n"/>
      <c r="V30" s="192" t="n"/>
      <c r="W30" s="251" t="n"/>
      <c r="X30" s="192" t="n"/>
      <c r="Y30" s="204" t="n"/>
      <c r="AA30" s="221" t="n"/>
      <c r="AB30" s="221" t="n"/>
      <c r="AC30" s="195" t="n"/>
      <c r="AD30" s="192" t="n"/>
      <c r="AE30" s="251" t="n"/>
      <c r="AF30" s="192" t="n"/>
      <c r="AG30" s="204" t="n"/>
      <c r="AI30" s="221" t="n"/>
      <c r="AJ30" s="221" t="n"/>
      <c r="AK30" s="195" t="n"/>
      <c r="AL30" s="192" t="n"/>
      <c r="AM30" s="251" t="n"/>
      <c r="AN30" s="192" t="n"/>
      <c r="AO30" s="204" t="n"/>
    </row>
    <row r="31" ht="21.75" customHeight="1" s="276">
      <c r="C31" s="0" t="n"/>
      <c r="D31" s="0" t="n"/>
      <c r="E31" s="195" t="n"/>
      <c r="F31" s="192" t="n"/>
      <c r="G31" s="251" t="n"/>
      <c r="H31" s="192" t="n"/>
      <c r="I31" s="204" t="n"/>
      <c r="K31" s="0" t="n"/>
      <c r="L31" s="0" t="n"/>
      <c r="M31" s="195" t="n"/>
      <c r="N31" s="192" t="n"/>
      <c r="O31" s="251" t="n"/>
      <c r="P31" s="192" t="n"/>
      <c r="Q31" s="204" t="n"/>
      <c r="S31" s="0" t="n"/>
      <c r="T31" s="0" t="n"/>
      <c r="U31" s="195" t="n"/>
      <c r="V31" s="192" t="n"/>
      <c r="W31" s="251" t="n"/>
      <c r="X31" s="192" t="n"/>
      <c r="Y31" s="204" t="n"/>
      <c r="AA31" s="0" t="n"/>
      <c r="AB31" s="0" t="n"/>
      <c r="AC31" s="195" t="n"/>
      <c r="AD31" s="192" t="n"/>
      <c r="AE31" s="251" t="n"/>
      <c r="AF31" s="192" t="n"/>
      <c r="AG31" s="204" t="n"/>
      <c r="AI31" s="0" t="n"/>
      <c r="AJ31" s="0" t="n"/>
      <c r="AK31" s="195" t="n"/>
      <c r="AL31" s="192" t="n"/>
      <c r="AM31" s="251" t="n"/>
      <c r="AN31" s="192" t="n"/>
      <c r="AO31" s="204" t="n"/>
    </row>
    <row r="32" ht="15.75" customHeight="1" s="276">
      <c r="D32" s="0" t="n"/>
      <c r="E32" s="195" t="n"/>
      <c r="F32" s="217" t="n"/>
      <c r="G32" s="252" t="n"/>
      <c r="H32" s="217" t="n"/>
      <c r="I32" s="219" t="n"/>
      <c r="L32" s="0" t="n"/>
      <c r="M32" s="195" t="n"/>
      <c r="N32" s="217" t="n"/>
      <c r="O32" s="252" t="n"/>
      <c r="P32" s="217" t="n"/>
      <c r="Q32" s="219" t="n"/>
      <c r="T32" s="0" t="n"/>
      <c r="U32" s="195" t="n"/>
      <c r="V32" s="217" t="n"/>
      <c r="W32" s="252" t="n"/>
      <c r="X32" s="217" t="n"/>
      <c r="Y32" s="219" t="n"/>
      <c r="AB32" s="0" t="n"/>
      <c r="AC32" s="195" t="n"/>
      <c r="AD32" s="217" t="n"/>
      <c r="AE32" s="252" t="n"/>
      <c r="AF32" s="217" t="n"/>
      <c r="AG32" s="219" t="n"/>
      <c r="AJ32" s="0" t="n"/>
      <c r="AK32" s="195" t="n"/>
      <c r="AL32" s="217" t="n"/>
      <c r="AM32" s="252" t="n"/>
      <c r="AN32" s="217" t="n"/>
      <c r="AO32" s="219" t="n"/>
    </row>
    <row r="33" ht="25.5" customHeight="1" s="276">
      <c r="E33" s="195" t="n"/>
      <c r="F33" s="192" t="n"/>
      <c r="G33" s="0" t="n"/>
      <c r="H33" s="192" t="n"/>
      <c r="I33" s="204" t="n"/>
      <c r="M33" s="195" t="n"/>
      <c r="N33" s="192" t="n"/>
      <c r="O33" s="0" t="n"/>
      <c r="P33" s="192" t="n"/>
      <c r="Q33" s="204" t="n"/>
      <c r="U33" s="195" t="n"/>
      <c r="V33" s="192" t="n"/>
      <c r="W33" s="0" t="n"/>
      <c r="X33" s="192" t="n"/>
      <c r="Y33" s="204" t="n"/>
      <c r="AC33" s="195" t="n"/>
      <c r="AD33" s="192" t="n"/>
      <c r="AE33" s="0" t="n"/>
      <c r="AF33" s="192" t="n"/>
      <c r="AG33" s="204" t="n"/>
      <c r="AK33" s="195" t="n"/>
      <c r="AL33" s="192" t="n"/>
      <c r="AM33" s="0" t="n"/>
      <c r="AN33" s="192" t="n"/>
      <c r="AO33" s="204" t="n"/>
    </row>
    <row r="34" ht="15.75" customHeight="1" s="276">
      <c r="E34" s="195" t="n"/>
      <c r="F34" s="192" t="n"/>
      <c r="G34" s="253" t="n"/>
      <c r="H34" s="192" t="n"/>
      <c r="I34" s="204" t="n"/>
      <c r="M34" s="195" t="n"/>
      <c r="N34" s="192" t="n"/>
      <c r="O34" s="253" t="n"/>
      <c r="P34" s="192" t="n"/>
      <c r="Q34" s="204" t="n"/>
      <c r="U34" s="195" t="n"/>
      <c r="V34" s="192" t="n"/>
      <c r="W34" s="253" t="n"/>
      <c r="X34" s="192" t="n"/>
      <c r="Y34" s="204" t="n"/>
      <c r="AC34" s="195" t="n"/>
      <c r="AD34" s="192" t="n"/>
      <c r="AE34" s="253" t="n"/>
      <c r="AF34" s="192" t="n"/>
      <c r="AG34" s="204" t="n"/>
      <c r="AK34" s="195" t="n"/>
      <c r="AL34" s="192" t="n"/>
      <c r="AM34" s="253" t="n"/>
      <c r="AN34" s="192" t="n"/>
      <c r="AO34" s="204" t="n"/>
    </row>
    <row r="35" ht="15.75" customHeight="1" s="276">
      <c r="E35" s="195" t="n"/>
      <c r="F35" s="192" t="n"/>
      <c r="G35" s="192" t="n"/>
      <c r="H35" s="192" t="n"/>
      <c r="I35" s="204" t="n"/>
      <c r="M35" s="195" t="n"/>
      <c r="N35" s="192" t="n"/>
      <c r="O35" s="192" t="n"/>
      <c r="P35" s="192" t="n"/>
      <c r="Q35" s="204" t="n"/>
      <c r="U35" s="195" t="n"/>
      <c r="V35" s="192" t="n"/>
      <c r="W35" s="192" t="n"/>
      <c r="X35" s="192" t="n"/>
      <c r="Y35" s="204" t="n"/>
      <c r="AC35" s="195" t="n"/>
      <c r="AD35" s="192" t="n"/>
      <c r="AE35" s="192" t="n"/>
      <c r="AF35" s="192" t="n"/>
      <c r="AG35" s="204" t="n"/>
      <c r="AK35" s="195" t="n"/>
      <c r="AL35" s="192" t="n"/>
      <c r="AM35" s="192" t="n"/>
      <c r="AN35" s="192" t="n"/>
      <c r="AO35" s="204" t="n"/>
    </row>
    <row r="36" ht="15.75" customHeight="1" s="276">
      <c r="E36" s="195" t="n"/>
      <c r="F36" s="192" t="n"/>
      <c r="G36" s="254" t="n"/>
      <c r="H36" s="192" t="n"/>
      <c r="I36" s="204" t="n"/>
      <c r="M36" s="195" t="n"/>
      <c r="N36" s="192" t="n"/>
      <c r="O36" s="254" t="n"/>
      <c r="P36" s="192" t="n"/>
      <c r="Q36" s="204" t="n"/>
      <c r="U36" s="195" t="n"/>
      <c r="V36" s="192" t="n"/>
      <c r="W36" s="254" t="n"/>
      <c r="X36" s="192" t="n"/>
      <c r="Y36" s="204" t="n"/>
      <c r="AC36" s="195" t="n"/>
      <c r="AD36" s="192" t="n"/>
      <c r="AE36" s="254" t="n"/>
      <c r="AF36" s="192" t="n"/>
      <c r="AG36" s="204" t="n"/>
      <c r="AK36" s="195" t="n"/>
      <c r="AL36" s="192" t="n"/>
      <c r="AM36" s="254" t="n"/>
      <c r="AN36" s="192" t="n"/>
      <c r="AO36" s="204" t="n"/>
    </row>
    <row r="37" ht="15.75" customHeight="1" s="276">
      <c r="E37" s="195" t="n"/>
      <c r="F37" s="192" t="n"/>
      <c r="G37" s="192" t="n"/>
      <c r="H37" s="192" t="n"/>
      <c r="I37" s="204" t="n"/>
      <c r="M37" s="195" t="n"/>
      <c r="N37" s="192" t="n"/>
      <c r="O37" s="192" t="n"/>
      <c r="P37" s="192" t="n"/>
      <c r="Q37" s="204" t="n"/>
      <c r="U37" s="195" t="n"/>
      <c r="V37" s="192" t="n"/>
      <c r="W37" s="192" t="n"/>
      <c r="X37" s="192" t="n"/>
      <c r="Y37" s="204" t="n"/>
      <c r="AC37" s="195" t="n"/>
      <c r="AD37" s="192" t="n"/>
      <c r="AE37" s="192" t="n"/>
      <c r="AF37" s="192" t="n"/>
      <c r="AG37" s="204" t="n"/>
      <c r="AK37" s="195" t="n"/>
      <c r="AL37" s="192" t="n"/>
      <c r="AM37" s="192" t="n"/>
      <c r="AN37" s="192" t="n"/>
      <c r="AO37" s="204" t="n"/>
    </row>
    <row r="38" ht="15.75" customHeight="1" s="276">
      <c r="E38" s="216" t="n"/>
      <c r="F38" s="217" t="n"/>
      <c r="G38" s="255" t="n"/>
      <c r="H38" s="217" t="n"/>
      <c r="I38" s="219" t="n"/>
      <c r="M38" s="216" t="n"/>
      <c r="N38" s="217" t="n"/>
      <c r="O38" s="255" t="n"/>
      <c r="P38" s="217" t="n"/>
      <c r="Q38" s="219" t="n"/>
      <c r="U38" s="216" t="n"/>
      <c r="V38" s="217" t="n"/>
      <c r="W38" s="255" t="n"/>
      <c r="X38" s="217" t="n"/>
      <c r="Y38" s="219" t="n"/>
      <c r="AC38" s="216" t="n"/>
      <c r="AD38" s="217" t="n"/>
      <c r="AE38" s="255" t="n"/>
      <c r="AF38" s="217" t="n"/>
      <c r="AG38" s="219" t="n"/>
      <c r="AK38" s="216" t="n"/>
      <c r="AL38" s="217" t="n"/>
      <c r="AM38" s="255" t="n"/>
      <c r="AN38" s="217" t="n"/>
      <c r="AO38" s="219" t="n"/>
    </row>
    <row r="39" ht="15.75" customHeight="1" s="276">
      <c r="F39" s="0" t="n"/>
      <c r="G39" s="0" t="n"/>
      <c r="H39" s="0" t="n"/>
      <c r="N39" s="0" t="n"/>
      <c r="O39" s="0" t="n"/>
      <c r="P39" s="0" t="n"/>
      <c r="V39" s="0" t="n"/>
      <c r="W39" s="0" t="n"/>
      <c r="X39" s="0" t="n"/>
      <c r="AD39" s="0" t="n"/>
      <c r="AE39" s="0" t="n"/>
      <c r="AF39" s="0" t="n"/>
      <c r="AL39" s="0" t="n"/>
      <c r="AM39" s="0" t="n"/>
      <c r="AN39" s="0" t="n"/>
    </row>
    <row r="40" ht="15.75" customHeight="1" s="276">
      <c r="F40" s="0" t="n"/>
      <c r="G40" s="0" t="n"/>
      <c r="N40" s="0" t="n"/>
      <c r="O40" s="0" t="n"/>
      <c r="V40" s="0" t="n"/>
      <c r="W40" s="0" t="n"/>
      <c r="AD40" s="0" t="n"/>
      <c r="AE40" s="0" t="n"/>
      <c r="AL40" s="0" t="n"/>
      <c r="AM40" s="0" t="n"/>
    </row>
    <row r="41" ht="15.75" customHeight="1" s="276">
      <c r="F41" s="0" t="n"/>
      <c r="G41" s="0" t="n"/>
      <c r="H41" s="0" t="n"/>
      <c r="I41" s="0" t="n"/>
      <c r="N41" s="0" t="n"/>
      <c r="O41" s="0" t="n"/>
      <c r="P41" s="0" t="n"/>
      <c r="Q41" s="0" t="n"/>
      <c r="V41" s="0" t="n"/>
      <c r="W41" s="0" t="n"/>
      <c r="X41" s="0" t="n"/>
      <c r="Y41" s="0" t="n"/>
      <c r="AD41" s="0" t="n"/>
      <c r="AE41" s="0" t="n"/>
      <c r="AF41" s="0" t="n"/>
      <c r="AG41" s="0" t="n"/>
      <c r="AL41" s="0" t="n"/>
      <c r="AM41" s="0" t="n"/>
      <c r="AN41" s="0" t="n"/>
      <c r="AO41" s="0" t="n"/>
    </row>
    <row r="42" ht="15.75" customHeight="1" s="276">
      <c r="F42" s="0" t="n"/>
      <c r="G42" s="0" t="n"/>
      <c r="H42" s="0" t="n"/>
      <c r="I42" s="0" t="n"/>
      <c r="J42" s="0" t="n"/>
      <c r="N42" s="0" t="n"/>
      <c r="O42" s="0" t="n"/>
      <c r="P42" s="0" t="n"/>
      <c r="Q42" s="0" t="n"/>
      <c r="R42" s="0" t="n"/>
      <c r="V42" s="0" t="n"/>
      <c r="W42" s="0" t="n"/>
      <c r="X42" s="0" t="n"/>
      <c r="Y42" s="0" t="n"/>
      <c r="Z42" s="0" t="n"/>
      <c r="AD42" s="0" t="n"/>
      <c r="AE42" s="0" t="n"/>
      <c r="AF42" s="0" t="n"/>
      <c r="AG42" s="0" t="n"/>
      <c r="AH42" s="0" t="n"/>
      <c r="AL42" s="0" t="n"/>
      <c r="AM42" s="0" t="n"/>
      <c r="AN42" s="0" t="n"/>
      <c r="AO42" s="0" t="n"/>
      <c r="AP42" s="0" t="n"/>
    </row>
    <row r="43" ht="15.75" customHeight="1" s="276">
      <c r="F43" s="0" t="n"/>
      <c r="G43" s="0" t="n"/>
      <c r="H43" s="0" t="n"/>
      <c r="I43" s="0" t="n"/>
      <c r="N43" s="0" t="n"/>
      <c r="O43" s="0" t="n"/>
      <c r="P43" s="0" t="n"/>
      <c r="Q43" s="0" t="n"/>
      <c r="W43" s="0" t="n"/>
      <c r="X43" s="0" t="n"/>
      <c r="Y43" s="0" t="n"/>
      <c r="AE43" s="0" t="n"/>
      <c r="AF43" s="0" t="n"/>
      <c r="AG43" s="0" t="n"/>
      <c r="AM43" s="0" t="n"/>
      <c r="AN43" s="0" t="n"/>
      <c r="AO43" s="0" t="n"/>
    </row>
    <row r="44" ht="15.75" customHeight="1" s="276">
      <c r="F44" s="0" t="n"/>
      <c r="G44" s="0" t="n"/>
      <c r="H44" s="0" t="n"/>
      <c r="I44" s="0" t="n"/>
      <c r="N44" s="0" t="n"/>
      <c r="O44" s="0" t="n"/>
      <c r="P44" s="0" t="n"/>
      <c r="Q44" s="0" t="n"/>
      <c r="V44" s="0" t="n"/>
      <c r="W44" s="0" t="n"/>
      <c r="X44" s="0" t="n"/>
      <c r="Y44" s="0" t="n"/>
      <c r="AD44" s="0" t="n"/>
      <c r="AE44" s="0" t="n"/>
      <c r="AF44" s="0" t="n"/>
      <c r="AG44" s="0" t="n"/>
      <c r="AL44" s="0" t="n"/>
      <c r="AM44" s="0" t="n"/>
      <c r="AN44" s="0" t="n"/>
      <c r="AO44" s="0" t="n"/>
    </row>
    <row r="45" ht="15.75" customHeight="1" s="276">
      <c r="G45" s="0" t="n"/>
      <c r="H45" s="0" t="n"/>
      <c r="I45" s="0" t="n"/>
      <c r="O45" s="0" t="n"/>
      <c r="P45" s="0" t="n"/>
      <c r="Q45" s="0" t="n"/>
      <c r="W45" s="0" t="n"/>
      <c r="X45" s="0" t="n"/>
      <c r="Y45" s="0" t="n"/>
      <c r="AE45" s="0" t="n"/>
      <c r="AF45" s="0" t="n"/>
      <c r="AG45" s="0" t="n"/>
      <c r="AM45" s="0" t="n"/>
      <c r="AN45" s="0" t="n"/>
      <c r="AO45" s="0" t="n"/>
    </row>
    <row r="46" ht="15.75" customHeight="1" s="276">
      <c r="G46" s="0" t="n"/>
      <c r="H46" s="0" t="n"/>
      <c r="I46" s="0" t="n"/>
      <c r="O46" s="0" t="n"/>
      <c r="P46" s="0" t="n"/>
      <c r="Q46" s="0" t="n"/>
      <c r="W46" s="0" t="n"/>
      <c r="X46" s="0" t="n"/>
      <c r="Y46" s="0" t="n"/>
      <c r="AE46" s="0" t="n"/>
      <c r="AF46" s="0" t="n"/>
      <c r="AG46" s="0" t="n"/>
      <c r="AM46" s="0" t="n"/>
      <c r="AN46" s="0" t="n"/>
      <c r="AO46" s="0" t="n"/>
    </row>
    <row r="47" ht="19.5" customHeight="1" s="276">
      <c r="G47" s="0" t="n"/>
      <c r="H47" s="0" t="n"/>
      <c r="O47" s="0" t="n"/>
      <c r="P47" s="0" t="n"/>
      <c r="W47" s="0" t="n"/>
      <c r="X47" s="0" t="n"/>
      <c r="AE47" s="0" t="n"/>
      <c r="AF47" s="0" t="n"/>
      <c r="AM47" s="0" t="n"/>
      <c r="AN47" s="0" t="n"/>
    </row>
    <row r="48" ht="15.75" customHeight="1" s="276">
      <c r="G48" s="0" t="n"/>
      <c r="O48" s="0" t="n"/>
      <c r="W48" s="0" t="n"/>
      <c r="AE48" s="0" t="n"/>
      <c r="AM48" s="0" t="n"/>
    </row>
    <row r="49" ht="15.75" customHeight="1" s="276"/>
    <row r="50" ht="15.75" customHeight="1" s="276"/>
    <row r="51" ht="15.75" customHeight="1" s="276"/>
    <row r="52" ht="15.75" customHeight="1" s="276"/>
    <row r="53" ht="15.75" customHeight="1" s="276"/>
    <row r="54" ht="15.75" customHeight="1" s="276"/>
    <row r="55" ht="15.75" customHeight="1" s="276"/>
    <row r="56" ht="15.75" customHeight="1" s="276"/>
    <row r="57" ht="15.75" customHeight="1" s="276"/>
    <row r="58" ht="15.75" customHeight="1" s="276"/>
    <row r="59" ht="15.75" customHeight="1" s="276"/>
    <row r="60" ht="15.75" customHeight="1" s="276"/>
    <row r="61" ht="15.75" customHeight="1" s="276"/>
    <row r="62" ht="15.75" customHeight="1" s="276"/>
    <row r="63" ht="15.75" customHeight="1" s="276"/>
    <row r="64" ht="15.75" customHeight="1" s="276"/>
    <row r="65" ht="15.75" customHeight="1" s="276"/>
    <row r="66" ht="15.75" customHeight="1" s="276"/>
    <row r="67" ht="15.75" customHeight="1" s="276"/>
    <row r="68" ht="15.75" customHeight="1" s="276"/>
    <row r="69" ht="15.75" customHeight="1" s="276"/>
    <row r="70" ht="15.75" customHeight="1" s="276"/>
    <row r="71" ht="15.75" customHeight="1" s="276"/>
    <row r="72" ht="15.75" customHeight="1" s="276"/>
    <row r="73" ht="15.75" customHeight="1" s="276"/>
    <row r="74" ht="15.75" customHeight="1" s="276"/>
    <row r="75" ht="15.75" customHeight="1" s="276"/>
    <row r="76" ht="15.75" customHeight="1" s="276"/>
    <row r="77" ht="15.75" customHeight="1" s="276"/>
    <row r="78" ht="15.75" customHeight="1" s="276"/>
    <row r="79" ht="15.75" customHeight="1" s="276"/>
    <row r="80" ht="15.75" customHeight="1" s="276"/>
    <row r="81" ht="15.75" customHeight="1" s="276"/>
    <row r="82" ht="15.75" customHeight="1" s="276"/>
    <row r="83" ht="15.75" customHeight="1" s="276"/>
    <row r="84" ht="15.75" customHeight="1" s="276"/>
    <row r="85" ht="15.75" customHeight="1" s="276"/>
    <row r="86" ht="15.75" customHeight="1" s="276"/>
    <row r="87" ht="15.75" customHeight="1" s="276"/>
    <row r="88" ht="15.75" customHeight="1" s="276"/>
    <row r="89" ht="15.75" customHeight="1" s="276"/>
    <row r="90" ht="15.75" customHeight="1" s="276"/>
    <row r="91" ht="15.75" customHeight="1" s="276"/>
    <row r="92" ht="15.75" customHeight="1" s="276"/>
    <row r="93" ht="15.75" customHeight="1" s="276"/>
    <row r="94" ht="15.75" customHeight="1" s="276"/>
    <row r="95" ht="15.75" customHeight="1" s="276"/>
    <row r="96" ht="15.75" customHeight="1" s="276"/>
    <row r="97" ht="15.75" customHeight="1" s="276"/>
    <row r="98" ht="15.75" customHeight="1" s="276"/>
    <row r="99" ht="15.75" customHeight="1" s="276"/>
    <row r="100" ht="15.75" customHeight="1" s="276"/>
  </sheetData>
  <conditionalFormatting sqref="O40">
    <cfRule type="expression" priority="5" dxfId="0">
      <formula>$A$1="DON’T PLAY THIS GAME"</formula>
    </cfRule>
  </conditionalFormatting>
  <conditionalFormatting sqref="A1:AT39 A40:F40 A41:AT100 H40:N40 P40:V40 X40:AD40 AF40:AL40 AN40:AT40">
    <cfRule type="expression" priority="6" dxfId="0">
      <formula>$A$1="DON’T PLAY THIS GAME"</formula>
    </cfRule>
  </conditionalFormatting>
  <conditionalFormatting sqref="W40">
    <cfRule type="expression" priority="1" dxfId="0">
      <formula>$A$1="DON’T PLAY THIS GAME"</formula>
    </cfRule>
  </conditionalFormatting>
  <conditionalFormatting sqref="AM40">
    <cfRule type="expression" priority="4" dxfId="0">
      <formula>$A$1="DON’T PLAY THIS GAME"</formula>
    </cfRule>
  </conditionalFormatting>
  <conditionalFormatting sqref="G40">
    <cfRule type="expression" priority="3" dxfId="0">
      <formula>$A$1="DON’T PLAY THIS GAME"</formula>
    </cfRule>
  </conditionalFormatting>
  <conditionalFormatting sqref="AE40">
    <cfRule type="expression" priority="2" dxfId="0">
      <formula>$A$1="DON’T PLAY THIS GAME"</formula>
    </cfRule>
  </conditionalFormatting>
  <pageMargins left="0.7" right="0.7" top="0.75" bottom="0.75" header="0" footer="0"/>
  <pageSetup orientation="landscape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2022-09-18T14:38:02Z</dcterms:created>
  <dcterms:modified xmlns:dcterms="http://purl.org/dc/terms/" xmlns:xsi="http://www.w3.org/2001/XMLSchema-instance" xsi:type="dcterms:W3CDTF">2026-08-16T11:11:47Z</dcterms:modified>
  <cp:lastModifiedBy>HP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6c3f989cfc094e03ac6f5c6e594eb1ce</vt:lpwstr>
  </property>
</Properties>
</file>